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oni\OneDrive\Рабочий стол\DSI\Job\DAO-gallery\"/>
    </mc:Choice>
  </mc:AlternateContent>
  <xr:revisionPtr revIDLastSave="0" documentId="13_ncr:1_{ED2594B2-FAC4-4E6E-B63E-64E59FB9E9C3}" xr6:coauthVersionLast="47" xr6:coauthVersionMax="47" xr10:uidLastSave="{00000000-0000-0000-0000-000000000000}"/>
  <bookViews>
    <workbookView xWindow="828" yWindow="-108" windowWidth="22320" windowHeight="13176" activeTab="5" xr2:uid="{00000000-000D-0000-FFFF-FFFF00000000}"/>
  </bookViews>
  <sheets>
    <sheet name="Items" sheetId="1" r:id="rId1"/>
    <sheet name="Income" sheetId="6" r:id="rId2"/>
    <sheet name="Expenses" sheetId="7" r:id="rId3"/>
    <sheet name="Profit" sheetId="8" r:id="rId4"/>
    <sheet name="Cash flow" sheetId="9" r:id="rId5"/>
    <sheet name="Predict balance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  <c r="E7" i="10"/>
  <c r="F7" i="10"/>
  <c r="G7" i="10" s="1"/>
  <c r="H7" i="10" s="1"/>
  <c r="I7" i="10" s="1"/>
  <c r="J7" i="10" s="1"/>
  <c r="K7" i="10" s="1"/>
  <c r="L7" i="10" s="1"/>
  <c r="M7" i="10" s="1"/>
  <c r="N7" i="10" s="1"/>
  <c r="D7" i="10"/>
  <c r="C7" i="10"/>
  <c r="B6" i="10"/>
  <c r="B4" i="10"/>
  <c r="D10" i="9"/>
  <c r="E10" i="9"/>
  <c r="F10" i="9"/>
  <c r="G10" i="9"/>
  <c r="H10" i="9"/>
  <c r="I10" i="9"/>
  <c r="J10" i="9"/>
  <c r="K10" i="9"/>
  <c r="L10" i="9"/>
  <c r="M10" i="9"/>
  <c r="C10" i="9"/>
  <c r="C6" i="9"/>
  <c r="D6" i="9"/>
  <c r="E6" i="9"/>
  <c r="F6" i="9"/>
  <c r="G6" i="9"/>
  <c r="H6" i="9"/>
  <c r="I6" i="9"/>
  <c r="J6" i="9"/>
  <c r="K6" i="9"/>
  <c r="L6" i="9"/>
  <c r="M6" i="9"/>
  <c r="C7" i="9"/>
  <c r="D7" i="9"/>
  <c r="E7" i="9"/>
  <c r="F7" i="9"/>
  <c r="G7" i="9"/>
  <c r="H7" i="9"/>
  <c r="I7" i="9"/>
  <c r="J7" i="9"/>
  <c r="K7" i="9"/>
  <c r="L7" i="9"/>
  <c r="M7" i="9"/>
  <c r="C8" i="9"/>
  <c r="D8" i="9"/>
  <c r="E8" i="9"/>
  <c r="F8" i="9"/>
  <c r="G8" i="9"/>
  <c r="H8" i="9"/>
  <c r="I8" i="9"/>
  <c r="J8" i="9"/>
  <c r="K8" i="9"/>
  <c r="L8" i="9"/>
  <c r="M8" i="9"/>
  <c r="C9" i="9"/>
  <c r="D9" i="9"/>
  <c r="E9" i="9"/>
  <c r="F9" i="9"/>
  <c r="G9" i="9"/>
  <c r="H9" i="9"/>
  <c r="I9" i="9"/>
  <c r="J9" i="9"/>
  <c r="K9" i="9"/>
  <c r="L9" i="9"/>
  <c r="M9" i="9"/>
  <c r="C11" i="9"/>
  <c r="D11" i="9"/>
  <c r="E11" i="9"/>
  <c r="F11" i="9"/>
  <c r="G11" i="9"/>
  <c r="H11" i="9"/>
  <c r="I11" i="9"/>
  <c r="J11" i="9"/>
  <c r="K11" i="9"/>
  <c r="L11" i="9"/>
  <c r="M11" i="9"/>
  <c r="C12" i="9"/>
  <c r="D12" i="9"/>
  <c r="E12" i="9"/>
  <c r="F12" i="9"/>
  <c r="G12" i="9"/>
  <c r="H12" i="9"/>
  <c r="I12" i="9"/>
  <c r="J12" i="9"/>
  <c r="K12" i="9"/>
  <c r="L12" i="9"/>
  <c r="M12" i="9"/>
  <c r="B12" i="9"/>
  <c r="B11" i="9"/>
  <c r="B9" i="9"/>
  <c r="B8" i="9"/>
  <c r="B7" i="9"/>
  <c r="B6" i="9"/>
  <c r="C4" i="8"/>
  <c r="C4" i="9" s="1"/>
  <c r="D4" i="8"/>
  <c r="D4" i="9" s="1"/>
  <c r="E4" i="8"/>
  <c r="F4" i="8"/>
  <c r="G4" i="8"/>
  <c r="H4" i="8"/>
  <c r="I4" i="8"/>
  <c r="I4" i="9" s="1"/>
  <c r="J4" i="8"/>
  <c r="J4" i="9" s="1"/>
  <c r="K4" i="8"/>
  <c r="K4" i="9" s="1"/>
  <c r="L4" i="8"/>
  <c r="L4" i="9" s="1"/>
  <c r="M4" i="8"/>
  <c r="B4" i="8"/>
  <c r="C12" i="7"/>
  <c r="D12" i="7"/>
  <c r="E12" i="7"/>
  <c r="F12" i="7"/>
  <c r="G12" i="7"/>
  <c r="H12" i="7"/>
  <c r="I12" i="7"/>
  <c r="J12" i="7"/>
  <c r="K12" i="7"/>
  <c r="L12" i="7"/>
  <c r="M12" i="7"/>
  <c r="B12" i="7"/>
  <c r="C11" i="7"/>
  <c r="C13" i="9" s="1"/>
  <c r="C5" i="9" s="1"/>
  <c r="D11" i="7"/>
  <c r="D13" i="7" s="1"/>
  <c r="D5" i="8" s="1"/>
  <c r="E11" i="7"/>
  <c r="E13" i="7" s="1"/>
  <c r="E5" i="8" s="1"/>
  <c r="F11" i="7"/>
  <c r="F13" i="7" s="1"/>
  <c r="F5" i="8" s="1"/>
  <c r="G11" i="7"/>
  <c r="G13" i="9" s="1"/>
  <c r="G5" i="9" s="1"/>
  <c r="H11" i="7"/>
  <c r="H13" i="9" s="1"/>
  <c r="H5" i="9" s="1"/>
  <c r="I11" i="7"/>
  <c r="I13" i="7" s="1"/>
  <c r="I5" i="8" s="1"/>
  <c r="J11" i="7"/>
  <c r="J13" i="9" s="1"/>
  <c r="J5" i="9" s="1"/>
  <c r="K11" i="7"/>
  <c r="K13" i="9" s="1"/>
  <c r="K5" i="9" s="1"/>
  <c r="L11" i="7"/>
  <c r="L13" i="7" s="1"/>
  <c r="L5" i="8" s="1"/>
  <c r="M11" i="7"/>
  <c r="M13" i="7" s="1"/>
  <c r="M5" i="8" s="1"/>
  <c r="B11" i="7"/>
  <c r="B13" i="7" s="1"/>
  <c r="B5" i="8" s="1"/>
  <c r="M10" i="7"/>
  <c r="L10" i="7"/>
  <c r="K10" i="7"/>
  <c r="J10" i="7"/>
  <c r="I10" i="7"/>
  <c r="H10" i="7"/>
  <c r="G10" i="7"/>
  <c r="F10" i="7"/>
  <c r="E10" i="7"/>
  <c r="D10" i="7"/>
  <c r="C10" i="7"/>
  <c r="B10" i="7"/>
  <c r="M9" i="7"/>
  <c r="L9" i="7"/>
  <c r="K9" i="7"/>
  <c r="J9" i="7"/>
  <c r="I9" i="7"/>
  <c r="H9" i="7"/>
  <c r="G9" i="7"/>
  <c r="F9" i="7"/>
  <c r="E9" i="7"/>
  <c r="D9" i="7"/>
  <c r="C9" i="7"/>
  <c r="B9" i="7"/>
  <c r="M8" i="7"/>
  <c r="L8" i="7"/>
  <c r="K8" i="7"/>
  <c r="J8" i="7"/>
  <c r="I8" i="7"/>
  <c r="H8" i="7"/>
  <c r="G8" i="7"/>
  <c r="F8" i="7"/>
  <c r="E8" i="7"/>
  <c r="D8" i="7"/>
  <c r="C8" i="7"/>
  <c r="B8" i="7"/>
  <c r="C7" i="7"/>
  <c r="D7" i="7"/>
  <c r="E7" i="7"/>
  <c r="F7" i="7"/>
  <c r="G7" i="7"/>
  <c r="H7" i="7"/>
  <c r="I7" i="7"/>
  <c r="J7" i="7"/>
  <c r="K7" i="7"/>
  <c r="L7" i="7"/>
  <c r="M7" i="7"/>
  <c r="B7" i="7"/>
  <c r="M6" i="7"/>
  <c r="L6" i="7"/>
  <c r="K6" i="7"/>
  <c r="J6" i="7"/>
  <c r="I6" i="7"/>
  <c r="H6" i="7"/>
  <c r="G6" i="7"/>
  <c r="F6" i="7"/>
  <c r="E6" i="7"/>
  <c r="D6" i="7"/>
  <c r="C6" i="7"/>
  <c r="B6" i="7"/>
  <c r="M5" i="7"/>
  <c r="L5" i="7"/>
  <c r="K5" i="7"/>
  <c r="J5" i="7"/>
  <c r="I5" i="7"/>
  <c r="H5" i="7"/>
  <c r="G5" i="7"/>
  <c r="F5" i="7"/>
  <c r="E5" i="7"/>
  <c r="D5" i="7"/>
  <c r="C5" i="7"/>
  <c r="B5" i="7"/>
  <c r="C4" i="7"/>
  <c r="D4" i="7"/>
  <c r="E4" i="7"/>
  <c r="F4" i="7"/>
  <c r="G4" i="7"/>
  <c r="H4" i="7"/>
  <c r="I4" i="7"/>
  <c r="J4" i="7"/>
  <c r="K4" i="7"/>
  <c r="L4" i="7"/>
  <c r="M4" i="7"/>
  <c r="B4" i="7"/>
  <c r="C7" i="6"/>
  <c r="D7" i="6"/>
  <c r="E7" i="6"/>
  <c r="F7" i="6"/>
  <c r="G7" i="6"/>
  <c r="H7" i="6"/>
  <c r="H8" i="6" s="1"/>
  <c r="I7" i="6"/>
  <c r="J7" i="6"/>
  <c r="J8" i="6" s="1"/>
  <c r="K7" i="6"/>
  <c r="L7" i="6"/>
  <c r="M7" i="6"/>
  <c r="B7" i="6"/>
  <c r="B6" i="6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M8" i="6" s="1"/>
  <c r="C5" i="6"/>
  <c r="D5" i="6"/>
  <c r="E5" i="6"/>
  <c r="F5" i="6"/>
  <c r="G5" i="6"/>
  <c r="H5" i="6"/>
  <c r="I5" i="6"/>
  <c r="J5" i="6"/>
  <c r="K5" i="6"/>
  <c r="L5" i="6"/>
  <c r="M5" i="6"/>
  <c r="B5" i="6"/>
  <c r="B4" i="6"/>
  <c r="C4" i="6" s="1"/>
  <c r="D4" i="6" s="1"/>
  <c r="E4" i="6" s="1"/>
  <c r="F4" i="6" s="1"/>
  <c r="G4" i="6" s="1"/>
  <c r="H4" i="6" s="1"/>
  <c r="I4" i="6" s="1"/>
  <c r="J4" i="6" s="1"/>
  <c r="K4" i="6" s="1"/>
  <c r="L4" i="6" s="1"/>
  <c r="M4" i="6" s="1"/>
  <c r="B13" i="9" l="1"/>
  <c r="B5" i="9" s="1"/>
  <c r="M13" i="9"/>
  <c r="M5" i="9" s="1"/>
  <c r="E13" i="9"/>
  <c r="E5" i="9" s="1"/>
  <c r="F13" i="9"/>
  <c r="F5" i="9" s="1"/>
  <c r="H13" i="7"/>
  <c r="H5" i="8" s="1"/>
  <c r="C13" i="7"/>
  <c r="C5" i="8" s="1"/>
  <c r="C6" i="8" s="1"/>
  <c r="J13" i="7"/>
  <c r="J5" i="8" s="1"/>
  <c r="J6" i="8" s="1"/>
  <c r="G13" i="7"/>
  <c r="G5" i="8" s="1"/>
  <c r="G6" i="8" s="1"/>
  <c r="K14" i="9"/>
  <c r="C14" i="9"/>
  <c r="I13" i="9"/>
  <c r="I5" i="9" s="1"/>
  <c r="I14" i="9" s="1"/>
  <c r="K13" i="7"/>
  <c r="K5" i="8" s="1"/>
  <c r="K6" i="8" s="1"/>
  <c r="L13" i="9"/>
  <c r="L5" i="9" s="1"/>
  <c r="L14" i="9" s="1"/>
  <c r="D13" i="9"/>
  <c r="D5" i="9" s="1"/>
  <c r="D14" i="9" s="1"/>
  <c r="J14" i="9"/>
  <c r="H6" i="8"/>
  <c r="H7" i="8" s="1"/>
  <c r="F6" i="8"/>
  <c r="F7" i="8" s="1"/>
  <c r="B6" i="8"/>
  <c r="B9" i="8" s="1"/>
  <c r="M6" i="8"/>
  <c r="E6" i="8"/>
  <c r="H4" i="9"/>
  <c r="H14" i="9" s="1"/>
  <c r="G4" i="9"/>
  <c r="G14" i="9" s="1"/>
  <c r="B4" i="9"/>
  <c r="B14" i="9" s="1"/>
  <c r="B16" i="9" s="1"/>
  <c r="F4" i="9"/>
  <c r="F14" i="9" s="1"/>
  <c r="M4" i="9"/>
  <c r="M14" i="9" s="1"/>
  <c r="E4" i="9"/>
  <c r="D6" i="8"/>
  <c r="N4" i="8"/>
  <c r="L6" i="8"/>
  <c r="I6" i="8"/>
  <c r="I8" i="6"/>
  <c r="G8" i="6"/>
  <c r="F8" i="6"/>
  <c r="E8" i="6"/>
  <c r="B8" i="6"/>
  <c r="L8" i="6"/>
  <c r="D8" i="6"/>
  <c r="K8" i="6"/>
  <c r="C8" i="6"/>
  <c r="E14" i="9" l="1"/>
  <c r="F8" i="8"/>
  <c r="F10" i="8"/>
  <c r="N5" i="8"/>
  <c r="F9" i="8"/>
  <c r="H8" i="8"/>
  <c r="H10" i="8"/>
  <c r="C8" i="10"/>
  <c r="D8" i="10" s="1"/>
  <c r="H9" i="8"/>
  <c r="B7" i="8"/>
  <c r="B11" i="8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I7" i="8"/>
  <c r="I9" i="8"/>
  <c r="K7" i="8"/>
  <c r="K9" i="8"/>
  <c r="G7" i="8"/>
  <c r="G9" i="8"/>
  <c r="L7" i="8"/>
  <c r="L9" i="8"/>
  <c r="D7" i="8"/>
  <c r="D9" i="8"/>
  <c r="C4" i="10"/>
  <c r="C6" i="10" s="1"/>
  <c r="C15" i="9"/>
  <c r="C16" i="9" s="1"/>
  <c r="J7" i="8"/>
  <c r="J9" i="8"/>
  <c r="E7" i="8"/>
  <c r="E9" i="8"/>
  <c r="C7" i="8"/>
  <c r="C9" i="8"/>
  <c r="M7" i="8"/>
  <c r="M9" i="8"/>
  <c r="N6" i="8"/>
  <c r="N9" i="8" s="1"/>
  <c r="C8" i="8" l="1"/>
  <c r="C10" i="8"/>
  <c r="D8" i="8"/>
  <c r="D10" i="8"/>
  <c r="I8" i="8"/>
  <c r="I10" i="8"/>
  <c r="L8" i="8"/>
  <c r="L10" i="8"/>
  <c r="C9" i="10"/>
  <c r="G8" i="8"/>
  <c r="G10" i="8"/>
  <c r="E8" i="8"/>
  <c r="E10" i="8"/>
  <c r="J8" i="8"/>
  <c r="J10" i="8"/>
  <c r="M8" i="8"/>
  <c r="M10" i="8"/>
  <c r="K8" i="8"/>
  <c r="K10" i="8"/>
  <c r="B8" i="8"/>
  <c r="B10" i="8"/>
  <c r="D15" i="9"/>
  <c r="D16" i="9" s="1"/>
  <c r="D4" i="10"/>
  <c r="D6" i="10" s="1"/>
  <c r="E8" i="10"/>
  <c r="D9" i="10"/>
  <c r="N7" i="8"/>
  <c r="N8" i="8" s="1"/>
  <c r="E15" i="9" l="1"/>
  <c r="E16" i="9" s="1"/>
  <c r="E4" i="10"/>
  <c r="E6" i="10" s="1"/>
  <c r="F8" i="10"/>
  <c r="E9" i="10"/>
  <c r="G8" i="10" l="1"/>
  <c r="F9" i="10"/>
  <c r="F15" i="9"/>
  <c r="F16" i="9" s="1"/>
  <c r="F4" i="10"/>
  <c r="F6" i="10" s="1"/>
  <c r="G15" i="9" l="1"/>
  <c r="G16" i="9" s="1"/>
  <c r="G4" i="10"/>
  <c r="G6" i="10" s="1"/>
  <c r="H8" i="10"/>
  <c r="G9" i="10"/>
  <c r="I8" i="10" l="1"/>
  <c r="H9" i="10"/>
  <c r="H15" i="9"/>
  <c r="H16" i="9" s="1"/>
  <c r="H4" i="10"/>
  <c r="H6" i="10" s="1"/>
  <c r="I15" i="9" l="1"/>
  <c r="I16" i="9" s="1"/>
  <c r="I4" i="10"/>
  <c r="I6" i="10" s="1"/>
  <c r="J8" i="10"/>
  <c r="I9" i="10"/>
  <c r="K8" i="10" l="1"/>
  <c r="J9" i="10"/>
  <c r="J15" i="9"/>
  <c r="J16" i="9" s="1"/>
  <c r="J4" i="10"/>
  <c r="J6" i="10" s="1"/>
  <c r="K15" i="9" l="1"/>
  <c r="K16" i="9" s="1"/>
  <c r="K4" i="10"/>
  <c r="K6" i="10" s="1"/>
  <c r="L8" i="10"/>
  <c r="K9" i="10"/>
  <c r="M8" i="10" l="1"/>
  <c r="L9" i="10"/>
  <c r="L15" i="9"/>
  <c r="L16" i="9" s="1"/>
  <c r="L4" i="10"/>
  <c r="L6" i="10" s="1"/>
  <c r="M15" i="9" l="1"/>
  <c r="M16" i="9" s="1"/>
  <c r="N4" i="10" s="1"/>
  <c r="N6" i="10" s="1"/>
  <c r="M4" i="10"/>
  <c r="M6" i="10" s="1"/>
  <c r="N8" i="10"/>
  <c r="N9" i="10" s="1"/>
  <c r="M9" i="10"/>
</calcChain>
</file>

<file path=xl/sharedStrings.xml><?xml version="1.0" encoding="utf-8"?>
<sst xmlns="http://schemas.openxmlformats.org/spreadsheetml/2006/main" count="168" uniqueCount="98">
  <si>
    <t>Описание</t>
  </si>
  <si>
    <t>Базовый</t>
  </si>
  <si>
    <t>Оптимистичный</t>
  </si>
  <si>
    <t>Пессимистичный</t>
  </si>
  <si>
    <t>Процент с каждой сделки</t>
  </si>
  <si>
    <t>Средняя стоимость NFT-сделки</t>
  </si>
  <si>
    <t>Число продаж/покупок NFT в месяц</t>
  </si>
  <si>
    <t>Средняя цена билета на выставку</t>
  </si>
  <si>
    <t>Разовая стоимость разработки</t>
  </si>
  <si>
    <t>Сценарий</t>
  </si>
  <si>
    <t>Комиссии за сделки</t>
  </si>
  <si>
    <t>Продажа билетов</t>
  </si>
  <si>
    <t>Разработка сайта</t>
  </si>
  <si>
    <t>Хостинг</t>
  </si>
  <si>
    <t>Разработка смарт-контрактов</t>
  </si>
  <si>
    <t>Деплой смарт-контрактов</t>
  </si>
  <si>
    <t>Параметры</t>
  </si>
  <si>
    <t>Тип</t>
  </si>
  <si>
    <t>Переменные</t>
  </si>
  <si>
    <t>Постоянные</t>
  </si>
  <si>
    <t>Январь</t>
  </si>
  <si>
    <t>Февраль</t>
  </si>
  <si>
    <t>Март</t>
  </si>
  <si>
    <t>Май</t>
  </si>
  <si>
    <t>Июнь</t>
  </si>
  <si>
    <t>Июль</t>
  </si>
  <si>
    <t>Август</t>
  </si>
  <si>
    <t xml:space="preserve">Сентябрь </t>
  </si>
  <si>
    <t>Октябрь</t>
  </si>
  <si>
    <t>Апрель</t>
  </si>
  <si>
    <t>Ноябрь</t>
  </si>
  <si>
    <t>Декабрь</t>
  </si>
  <si>
    <t>Итого</t>
  </si>
  <si>
    <t>Комиссия</t>
  </si>
  <si>
    <t xml:space="preserve">Средняя сумма сделки </t>
  </si>
  <si>
    <t xml:space="preserve">Кол-во транзакций в месяц </t>
  </si>
  <si>
    <t xml:space="preserve">Цена билета </t>
  </si>
  <si>
    <t xml:space="preserve">Разработка сайта </t>
  </si>
  <si>
    <t xml:space="preserve">Деплой смарт-контрактов </t>
  </si>
  <si>
    <t>Маркетинг</t>
  </si>
  <si>
    <t>IT персонал</t>
  </si>
  <si>
    <t>Аренда</t>
  </si>
  <si>
    <t>Размещение сайта в интернете</t>
  </si>
  <si>
    <t>Разовая стоимость разработки смарт-контрактов</t>
  </si>
  <si>
    <t>Стоимость деплоя</t>
  </si>
  <si>
    <t>Стоимость продвижения в месяц</t>
  </si>
  <si>
    <t>Стоимость IT реализаций и поддержки в месяц</t>
  </si>
  <si>
    <t>Аренда помещения для хранения картин в месяц</t>
  </si>
  <si>
    <t>Кол-во сотрудников</t>
  </si>
  <si>
    <t>Общее кол-во сотрудников в проекте</t>
  </si>
  <si>
    <t xml:space="preserve">Кол-во картин </t>
  </si>
  <si>
    <t>Общее кол-во картин в хранилище</t>
  </si>
  <si>
    <t>Фонд оплаты труда</t>
  </si>
  <si>
    <t>Хостинг в месяц</t>
  </si>
  <si>
    <t>Кол-во средств, выделенное на ЗП в месяц</t>
  </si>
  <si>
    <t>Реклама на сайте</t>
  </si>
  <si>
    <t>Реклама на выставке</t>
  </si>
  <si>
    <t>Стоимость размещения рекламы на сайте</t>
  </si>
  <si>
    <t>Стоимость рекламы на выставке</t>
  </si>
  <si>
    <t>Налоги</t>
  </si>
  <si>
    <t>Налог на прибыль</t>
  </si>
  <si>
    <t>Процент с прибыли в месяц</t>
  </si>
  <si>
    <t>Страхование</t>
  </si>
  <si>
    <t>Расходы на страховку в год</t>
  </si>
  <si>
    <t>Проведение выставок</t>
  </si>
  <si>
    <t>Расходы на проведение выставок в год</t>
  </si>
  <si>
    <t>Зарплата</t>
  </si>
  <si>
    <t>Сумма проданных билетов на одну выставку</t>
  </si>
  <si>
    <t>Билеты</t>
  </si>
  <si>
    <t>Планируемые доходы, USD</t>
  </si>
  <si>
    <t>Кол-во выставок в год</t>
  </si>
  <si>
    <t>Выставки</t>
  </si>
  <si>
    <t>Проведение выставки</t>
  </si>
  <si>
    <t>Страховка</t>
  </si>
  <si>
    <t>Планируемые расходы, USD</t>
  </si>
  <si>
    <t>Планируемая прибыль, USD</t>
  </si>
  <si>
    <t>Операционные доходы</t>
  </si>
  <si>
    <t>Операционные расходы</t>
  </si>
  <si>
    <t>Операционная прибыль</t>
  </si>
  <si>
    <t>Чистая прибыль</t>
  </si>
  <si>
    <t>Рентабельность продаж (ROS)</t>
  </si>
  <si>
    <t>Рентабельность продукции (ROM)</t>
  </si>
  <si>
    <t>Прибыль нарастающим итогом</t>
  </si>
  <si>
    <t>План движения денежных средств, USD</t>
  </si>
  <si>
    <t>Показатели</t>
  </si>
  <si>
    <t>Поступления по операционной деятельности</t>
  </si>
  <si>
    <t>Платежи по операционной деятельности</t>
  </si>
  <si>
    <t>Сальдо по операционной деятельности</t>
  </si>
  <si>
    <t>Сальдо на начало периода</t>
  </si>
  <si>
    <t>Сальдо на конец периода</t>
  </si>
  <si>
    <t>Прогнозируемый баланс, USD</t>
  </si>
  <si>
    <t>Денежные средства</t>
  </si>
  <si>
    <t>Активы, итого</t>
  </si>
  <si>
    <t>Кредиторская задолжность</t>
  </si>
  <si>
    <t>Капитал</t>
  </si>
  <si>
    <t>Пассивы, итого</t>
  </si>
  <si>
    <t>Дебюторская заложность</t>
  </si>
  <si>
    <t>Рентабельность инвестиций (ROI)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</si>
</sst>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_ ;\-[$$-409]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3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9" fontId="4" fillId="0" borderId="0" xfId="1" applyNumberFormat="1" applyFont="1" applyAlignment="1">
      <alignment vertical="center"/>
    </xf>
    <xf numFmtId="1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0" xfId="0" applyFont="1"/>
    <xf numFmtId="0" fontId="7" fillId="0" borderId="2" xfId="0" applyFont="1" applyBorder="1"/>
    <xf numFmtId="0" fontId="7" fillId="0" borderId="0" xfId="0" applyFont="1"/>
    <xf numFmtId="0" fontId="4" fillId="0" borderId="2" xfId="0" applyFont="1" applyBorder="1" applyAlignment="1">
      <alignment wrapText="1"/>
    </xf>
    <xf numFmtId="1" fontId="4" fillId="0" borderId="0" xfId="0" applyNumberFormat="1" applyFont="1" applyAlignment="1">
      <alignment vertical="center"/>
    </xf>
    <xf numFmtId="0" fontId="9" fillId="0" borderId="0" xfId="0" applyFont="1"/>
    <xf numFmtId="0" fontId="7" fillId="0" borderId="2" xfId="0" applyFont="1" applyBorder="1" applyAlignment="1">
      <alignment wrapText="1"/>
    </xf>
    <xf numFmtId="1" fontId="0" fillId="0" borderId="2" xfId="0" applyNumberFormat="1" applyBorder="1"/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7" fillId="0" borderId="2" xfId="0" applyFont="1" applyBorder="1" applyAlignment="1">
      <alignment vertical="center"/>
    </xf>
    <xf numFmtId="9" fontId="4" fillId="0" borderId="2" xfId="2" applyFont="1" applyBorder="1" applyAlignment="1">
      <alignment vertical="center" wrapText="1"/>
    </xf>
    <xf numFmtId="9" fontId="0" fillId="0" borderId="2" xfId="2" applyFont="1" applyBorder="1" applyAlignment="1">
      <alignment vertical="center"/>
    </xf>
    <xf numFmtId="9" fontId="0" fillId="0" borderId="0" xfId="2" applyFont="1" applyAlignment="1">
      <alignment vertical="center"/>
    </xf>
    <xf numFmtId="0" fontId="7" fillId="0" borderId="2" xfId="0" applyFont="1" applyBorder="1" applyAlignment="1">
      <alignment vertical="center" wrapText="1"/>
    </xf>
    <xf numFmtId="1" fontId="7" fillId="0" borderId="2" xfId="0" applyNumberFormat="1" applyFont="1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wrapText="1"/>
    </xf>
    <xf numFmtId="14" fontId="7" fillId="0" borderId="2" xfId="0" applyNumberFormat="1" applyFont="1" applyBorder="1"/>
    <xf numFmtId="1" fontId="4" fillId="0" borderId="2" xfId="2" applyNumberFormat="1" applyFont="1" applyBorder="1" applyAlignment="1">
      <alignment vertical="center" wrapText="1"/>
    </xf>
    <xf numFmtId="1" fontId="0" fillId="0" borderId="2" xfId="2" applyNumberFormat="1" applyFont="1" applyBorder="1" applyAlignment="1">
      <alignment vertical="center"/>
    </xf>
    <xf numFmtId="1" fontId="0" fillId="0" borderId="0" xfId="0" applyNumberFormat="1"/>
    <xf numFmtId="0" fontId="2" fillId="0" borderId="1" xfId="3" applyAlignment="1">
      <alignment horizontal="center" vertical="center"/>
    </xf>
    <xf numFmtId="0" fontId="5" fillId="0" borderId="0" xfId="0" applyFont="1" applyAlignment="1">
      <alignment horizontal="center"/>
    </xf>
  </cellXfs>
  <cellStyles count="4">
    <cellStyle name="Заголовок 1" xfId="3" builtinId="16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workbookViewId="0">
      <selection activeCell="D22" sqref="D22"/>
    </sheetView>
  </sheetViews>
  <sheetFormatPr defaultRowHeight="14.4" x14ac:dyDescent="0.3"/>
  <cols>
    <col min="1" max="1" width="30.21875" bestFit="1" customWidth="1"/>
    <col min="2" max="2" width="45.33203125" bestFit="1" customWidth="1"/>
    <col min="3" max="3" width="13.5546875" bestFit="1" customWidth="1"/>
    <col min="4" max="4" width="12.33203125" bestFit="1" customWidth="1"/>
    <col min="5" max="5" width="21.33203125" bestFit="1" customWidth="1"/>
    <col min="6" max="6" width="22.44140625" bestFit="1" customWidth="1"/>
  </cols>
  <sheetData>
    <row r="1" spans="1:6" s="1" customFormat="1" ht="21.6" thickBot="1" x14ac:dyDescent="0.35">
      <c r="A1" s="34" t="s">
        <v>16</v>
      </c>
      <c r="B1" s="34" t="s">
        <v>0</v>
      </c>
      <c r="C1" s="34" t="s">
        <v>17</v>
      </c>
      <c r="D1" s="34" t="s">
        <v>9</v>
      </c>
      <c r="E1" s="34"/>
      <c r="F1" s="34"/>
    </row>
    <row r="2" spans="1:6" s="1" customFormat="1" ht="22.2" thickTop="1" thickBot="1" x14ac:dyDescent="0.35">
      <c r="A2" s="34"/>
      <c r="B2" s="34"/>
      <c r="C2" s="34"/>
      <c r="D2" s="3" t="s">
        <v>1</v>
      </c>
      <c r="E2" s="3" t="s">
        <v>2</v>
      </c>
      <c r="F2" s="3" t="s">
        <v>3</v>
      </c>
    </row>
    <row r="3" spans="1:6" s="2" customFormat="1" ht="16.2" thickTop="1" x14ac:dyDescent="0.3">
      <c r="A3" s="4" t="s">
        <v>33</v>
      </c>
      <c r="B3" s="4" t="s">
        <v>4</v>
      </c>
      <c r="C3" s="4" t="s">
        <v>18</v>
      </c>
      <c r="D3" s="7">
        <v>0.1</v>
      </c>
      <c r="E3" s="7">
        <v>0.15</v>
      </c>
      <c r="F3" s="7">
        <v>7.0000000000000007E-2</v>
      </c>
    </row>
    <row r="4" spans="1:6" s="2" customFormat="1" ht="15.6" x14ac:dyDescent="0.3">
      <c r="A4" s="4" t="s">
        <v>34</v>
      </c>
      <c r="B4" s="4" t="s">
        <v>5</v>
      </c>
      <c r="C4" s="4" t="s">
        <v>18</v>
      </c>
      <c r="D4" s="9">
        <v>10</v>
      </c>
      <c r="E4" s="9">
        <v>12</v>
      </c>
      <c r="F4" s="9">
        <v>8</v>
      </c>
    </row>
    <row r="5" spans="1:6" s="2" customFormat="1" ht="15.6" x14ac:dyDescent="0.3">
      <c r="A5" s="4" t="s">
        <v>35</v>
      </c>
      <c r="B5" s="4" t="s">
        <v>6</v>
      </c>
      <c r="C5" s="4" t="s">
        <v>18</v>
      </c>
      <c r="D5" s="8">
        <v>10000</v>
      </c>
      <c r="E5" s="8">
        <v>15000</v>
      </c>
      <c r="F5" s="8">
        <v>6000</v>
      </c>
    </row>
    <row r="6" spans="1:6" s="2" customFormat="1" ht="15.6" x14ac:dyDescent="0.3">
      <c r="A6" s="4" t="s">
        <v>36</v>
      </c>
      <c r="B6" s="4" t="s">
        <v>7</v>
      </c>
      <c r="C6" s="4" t="s">
        <v>19</v>
      </c>
      <c r="D6" s="9">
        <v>500</v>
      </c>
      <c r="E6" s="9">
        <v>1000</v>
      </c>
      <c r="F6" s="9">
        <v>300</v>
      </c>
    </row>
    <row r="7" spans="1:6" s="2" customFormat="1" ht="15.6" x14ac:dyDescent="0.3">
      <c r="A7" s="4" t="s">
        <v>68</v>
      </c>
      <c r="B7" s="4" t="s">
        <v>67</v>
      </c>
      <c r="C7" s="4" t="s">
        <v>18</v>
      </c>
      <c r="D7" s="8">
        <v>100</v>
      </c>
      <c r="E7" s="8">
        <v>150</v>
      </c>
      <c r="F7" s="8">
        <v>80</v>
      </c>
    </row>
    <row r="8" spans="1:6" s="2" customFormat="1" ht="15.6" x14ac:dyDescent="0.3">
      <c r="A8" s="4" t="s">
        <v>53</v>
      </c>
      <c r="B8" s="4" t="s">
        <v>42</v>
      </c>
      <c r="C8" s="4" t="s">
        <v>19</v>
      </c>
      <c r="D8" s="9">
        <v>50</v>
      </c>
      <c r="E8" s="9">
        <v>30</v>
      </c>
      <c r="F8" s="9">
        <v>80</v>
      </c>
    </row>
    <row r="9" spans="1:6" s="2" customFormat="1" ht="15.6" x14ac:dyDescent="0.3">
      <c r="A9" s="4" t="s">
        <v>37</v>
      </c>
      <c r="B9" s="4" t="s">
        <v>8</v>
      </c>
      <c r="C9" s="4" t="s">
        <v>19</v>
      </c>
      <c r="D9" s="9">
        <v>3000</v>
      </c>
      <c r="E9" s="9">
        <v>2000</v>
      </c>
      <c r="F9" s="9">
        <v>4000</v>
      </c>
    </row>
    <row r="10" spans="1:6" s="2" customFormat="1" ht="31.2" x14ac:dyDescent="0.3">
      <c r="A10" s="4" t="s">
        <v>14</v>
      </c>
      <c r="B10" s="5" t="s">
        <v>43</v>
      </c>
      <c r="C10" s="4" t="s">
        <v>19</v>
      </c>
      <c r="D10" s="9">
        <v>2000</v>
      </c>
      <c r="E10" s="9">
        <v>1000</v>
      </c>
      <c r="F10" s="9">
        <v>3000</v>
      </c>
    </row>
    <row r="11" spans="1:6" s="2" customFormat="1" ht="15.6" x14ac:dyDescent="0.3">
      <c r="A11" s="4" t="s">
        <v>38</v>
      </c>
      <c r="B11" s="4" t="s">
        <v>44</v>
      </c>
      <c r="C11" s="4" t="s">
        <v>19</v>
      </c>
      <c r="D11" s="9">
        <v>500</v>
      </c>
      <c r="E11" s="9">
        <v>300</v>
      </c>
      <c r="F11" s="9">
        <v>800</v>
      </c>
    </row>
    <row r="12" spans="1:6" s="2" customFormat="1" ht="15.6" x14ac:dyDescent="0.3">
      <c r="A12" s="4" t="s">
        <v>39</v>
      </c>
      <c r="B12" s="4" t="s">
        <v>45</v>
      </c>
      <c r="C12" s="4" t="s">
        <v>19</v>
      </c>
      <c r="D12" s="9">
        <v>1000</v>
      </c>
      <c r="E12" s="9">
        <v>800</v>
      </c>
      <c r="F12" s="9">
        <v>1500</v>
      </c>
    </row>
    <row r="13" spans="1:6" s="2" customFormat="1" ht="31.2" x14ac:dyDescent="0.3">
      <c r="A13" s="4" t="s">
        <v>40</v>
      </c>
      <c r="B13" s="5" t="s">
        <v>46</v>
      </c>
      <c r="C13" s="4" t="s">
        <v>19</v>
      </c>
      <c r="D13" s="9">
        <v>3000</v>
      </c>
      <c r="E13" s="9">
        <v>2000</v>
      </c>
      <c r="F13" s="9">
        <v>5000</v>
      </c>
    </row>
    <row r="14" spans="1:6" s="2" customFormat="1" ht="31.2" x14ac:dyDescent="0.3">
      <c r="A14" s="4" t="s">
        <v>41</v>
      </c>
      <c r="B14" s="5" t="s">
        <v>47</v>
      </c>
      <c r="C14" s="4" t="s">
        <v>19</v>
      </c>
      <c r="D14" s="9">
        <v>700</v>
      </c>
      <c r="E14" s="9">
        <v>400</v>
      </c>
      <c r="F14" s="9">
        <v>1500</v>
      </c>
    </row>
    <row r="15" spans="1:6" s="2" customFormat="1" ht="15.6" x14ac:dyDescent="0.3">
      <c r="A15" s="4" t="s">
        <v>48</v>
      </c>
      <c r="B15" s="5" t="s">
        <v>49</v>
      </c>
      <c r="C15" s="4" t="s">
        <v>19</v>
      </c>
      <c r="D15" s="8">
        <v>3</v>
      </c>
      <c r="E15" s="8">
        <v>5</v>
      </c>
      <c r="F15" s="8">
        <v>2</v>
      </c>
    </row>
    <row r="16" spans="1:6" s="2" customFormat="1" ht="15.6" x14ac:dyDescent="0.3">
      <c r="A16" s="4" t="s">
        <v>50</v>
      </c>
      <c r="B16" s="5" t="s">
        <v>51</v>
      </c>
      <c r="C16" s="4" t="s">
        <v>18</v>
      </c>
      <c r="D16" s="8">
        <v>20</v>
      </c>
      <c r="E16" s="8">
        <v>30</v>
      </c>
      <c r="F16" s="8">
        <v>10</v>
      </c>
    </row>
    <row r="17" spans="1:6" s="2" customFormat="1" ht="15.6" x14ac:dyDescent="0.3">
      <c r="A17" s="4" t="s">
        <v>52</v>
      </c>
      <c r="B17" s="5" t="s">
        <v>54</v>
      </c>
      <c r="C17" s="4" t="s">
        <v>19</v>
      </c>
      <c r="D17" s="9">
        <v>6000</v>
      </c>
      <c r="E17" s="9">
        <v>12500</v>
      </c>
      <c r="F17" s="9">
        <v>3000</v>
      </c>
    </row>
    <row r="18" spans="1:6" s="2" customFormat="1" ht="15.6" x14ac:dyDescent="0.3">
      <c r="A18" s="4" t="s">
        <v>55</v>
      </c>
      <c r="B18" s="4" t="s">
        <v>57</v>
      </c>
      <c r="C18" s="4" t="s">
        <v>19</v>
      </c>
      <c r="D18" s="9">
        <v>1000</v>
      </c>
      <c r="E18" s="9">
        <v>1500</v>
      </c>
      <c r="F18" s="9">
        <v>800</v>
      </c>
    </row>
    <row r="19" spans="1:6" s="2" customFormat="1" ht="15.6" x14ac:dyDescent="0.3">
      <c r="A19" s="4" t="s">
        <v>56</v>
      </c>
      <c r="B19" s="4" t="s">
        <v>58</v>
      </c>
      <c r="C19" s="4" t="s">
        <v>19</v>
      </c>
      <c r="D19" s="9">
        <v>2000</v>
      </c>
      <c r="E19" s="9">
        <v>2700</v>
      </c>
      <c r="F19" s="9">
        <v>1000</v>
      </c>
    </row>
    <row r="20" spans="1:6" s="2" customFormat="1" ht="15.6" x14ac:dyDescent="0.3">
      <c r="A20" s="4" t="s">
        <v>60</v>
      </c>
      <c r="B20" s="4" t="s">
        <v>61</v>
      </c>
      <c r="C20" s="4" t="s">
        <v>18</v>
      </c>
      <c r="D20" s="7">
        <v>0.22</v>
      </c>
      <c r="E20" s="7">
        <v>0.13</v>
      </c>
      <c r="F20" s="7">
        <v>0.3</v>
      </c>
    </row>
    <row r="21" spans="1:6" s="2" customFormat="1" ht="15.6" x14ac:dyDescent="0.3">
      <c r="A21" s="4" t="s">
        <v>62</v>
      </c>
      <c r="B21" s="4" t="s">
        <v>63</v>
      </c>
      <c r="C21" s="4" t="s">
        <v>19</v>
      </c>
      <c r="D21" s="9">
        <v>30000</v>
      </c>
      <c r="E21" s="9">
        <v>70000</v>
      </c>
      <c r="F21" s="9">
        <v>200000</v>
      </c>
    </row>
    <row r="22" spans="1:6" s="2" customFormat="1" ht="15.6" x14ac:dyDescent="0.3">
      <c r="A22" s="4" t="s">
        <v>64</v>
      </c>
      <c r="B22" s="4" t="s">
        <v>65</v>
      </c>
      <c r="C22" s="4" t="s">
        <v>18</v>
      </c>
      <c r="D22" s="9">
        <v>12000</v>
      </c>
      <c r="E22" s="9">
        <v>6000</v>
      </c>
      <c r="F22" s="9">
        <v>20000</v>
      </c>
    </row>
    <row r="23" spans="1:6" s="2" customFormat="1" ht="15.6" x14ac:dyDescent="0.3">
      <c r="A23" s="4" t="s">
        <v>71</v>
      </c>
      <c r="B23" s="4" t="s">
        <v>70</v>
      </c>
      <c r="C23" s="4" t="s">
        <v>19</v>
      </c>
      <c r="D23" s="16">
        <v>2</v>
      </c>
      <c r="E23" s="16">
        <v>3</v>
      </c>
      <c r="F23" s="16">
        <v>1</v>
      </c>
    </row>
    <row r="24" spans="1:6" ht="15.6" x14ac:dyDescent="0.3">
      <c r="A24" s="6"/>
      <c r="B24" s="6"/>
      <c r="C24" s="6"/>
      <c r="D24" s="6"/>
      <c r="E24" s="6"/>
      <c r="F24" s="6"/>
    </row>
    <row r="25" spans="1:6" ht="15.6" x14ac:dyDescent="0.3">
      <c r="A25" s="6"/>
      <c r="B25" s="6"/>
      <c r="C25" s="6"/>
      <c r="D25" s="6"/>
      <c r="E25" s="6"/>
      <c r="F25" s="6"/>
    </row>
    <row r="26" spans="1:6" ht="15.6" x14ac:dyDescent="0.3">
      <c r="A26" s="6"/>
      <c r="B26" s="6"/>
      <c r="C26" s="6"/>
      <c r="D26" s="6"/>
      <c r="E26" s="6"/>
      <c r="F26" s="6"/>
    </row>
    <row r="27" spans="1:6" ht="15.6" x14ac:dyDescent="0.3">
      <c r="A27" s="6"/>
      <c r="B27" s="6"/>
      <c r="C27" s="6"/>
      <c r="D27" s="6"/>
      <c r="E27" s="6"/>
      <c r="F27" s="6"/>
    </row>
    <row r="28" spans="1:6" ht="15.6" x14ac:dyDescent="0.3">
      <c r="A28" s="6"/>
      <c r="B28" s="6"/>
      <c r="C28" s="6"/>
      <c r="D28" s="6"/>
      <c r="E28" s="6"/>
      <c r="F28" s="6"/>
    </row>
    <row r="29" spans="1:6" ht="15.6" x14ac:dyDescent="0.3">
      <c r="A29" s="6"/>
      <c r="B29" s="6"/>
      <c r="C29" s="6"/>
      <c r="D29" s="6"/>
      <c r="E29" s="6"/>
      <c r="F29" s="6"/>
    </row>
    <row r="30" spans="1:6" ht="15.6" x14ac:dyDescent="0.3">
      <c r="A30" s="6"/>
      <c r="B30" s="6"/>
      <c r="C30" s="6"/>
      <c r="D30" s="6"/>
      <c r="E30" s="6"/>
      <c r="F30" s="6"/>
    </row>
    <row r="31" spans="1:6" ht="15.6" x14ac:dyDescent="0.3">
      <c r="A31" s="6"/>
      <c r="B31" s="6"/>
      <c r="C31" s="6"/>
      <c r="D31" s="6"/>
      <c r="E31" s="6"/>
      <c r="F31" s="6"/>
    </row>
    <row r="32" spans="1:6" ht="15.6" x14ac:dyDescent="0.3">
      <c r="A32" s="6"/>
      <c r="B32" s="6"/>
      <c r="C32" s="6"/>
      <c r="D32" s="6"/>
      <c r="E32" s="6"/>
      <c r="F32" s="6"/>
    </row>
    <row r="33" spans="1:6" ht="15.6" x14ac:dyDescent="0.3">
      <c r="A33" s="6"/>
      <c r="B33" s="6"/>
      <c r="C33" s="6"/>
      <c r="D33" s="6"/>
      <c r="E33" s="6"/>
      <c r="F33" s="6"/>
    </row>
    <row r="34" spans="1:6" ht="15.6" x14ac:dyDescent="0.3">
      <c r="A34" s="6"/>
      <c r="B34" s="6"/>
      <c r="C34" s="6"/>
      <c r="D34" s="6"/>
      <c r="E34" s="6"/>
      <c r="F34" s="6"/>
    </row>
    <row r="35" spans="1:6" ht="15.6" x14ac:dyDescent="0.3">
      <c r="A35" s="6"/>
      <c r="B35" s="6"/>
      <c r="C35" s="6"/>
      <c r="D35" s="6"/>
      <c r="E35" s="6"/>
      <c r="F35" s="6"/>
    </row>
    <row r="36" spans="1:6" ht="15.6" x14ac:dyDescent="0.3">
      <c r="A36" s="6"/>
      <c r="B36" s="6"/>
      <c r="C36" s="6"/>
      <c r="D36" s="6"/>
      <c r="E36" s="6"/>
      <c r="F36" s="6"/>
    </row>
    <row r="37" spans="1:6" ht="15.6" x14ac:dyDescent="0.3">
      <c r="A37" s="6"/>
      <c r="B37" s="6"/>
      <c r="C37" s="6"/>
      <c r="D37" s="6"/>
      <c r="E37" s="6"/>
      <c r="F37" s="6"/>
    </row>
    <row r="38" spans="1:6" ht="15.6" x14ac:dyDescent="0.3">
      <c r="A38" s="6"/>
      <c r="B38" s="6"/>
      <c r="C38" s="6"/>
      <c r="D38" s="6"/>
      <c r="E38" s="6"/>
      <c r="F38" s="6"/>
    </row>
    <row r="39" spans="1:6" ht="15.6" x14ac:dyDescent="0.3">
      <c r="A39" s="6"/>
      <c r="B39" s="6"/>
      <c r="C39" s="6"/>
      <c r="D39" s="6"/>
      <c r="E39" s="6"/>
      <c r="F39" s="6"/>
    </row>
    <row r="40" spans="1:6" ht="15.6" x14ac:dyDescent="0.3">
      <c r="A40" s="6"/>
      <c r="B40" s="6"/>
      <c r="C40" s="6"/>
      <c r="D40" s="6"/>
      <c r="E40" s="6"/>
      <c r="F40" s="6"/>
    </row>
    <row r="41" spans="1:6" ht="15.6" x14ac:dyDescent="0.3">
      <c r="A41" s="6"/>
      <c r="B41" s="6"/>
      <c r="C41" s="6"/>
      <c r="D41" s="6"/>
      <c r="E41" s="6"/>
      <c r="F41" s="6"/>
    </row>
    <row r="42" spans="1:6" ht="15.6" x14ac:dyDescent="0.3">
      <c r="A42" s="6"/>
      <c r="B42" s="6"/>
      <c r="C42" s="6"/>
      <c r="D42" s="6"/>
      <c r="E42" s="6"/>
      <c r="F42" s="6"/>
    </row>
    <row r="43" spans="1:6" ht="15.6" x14ac:dyDescent="0.3">
      <c r="A43" s="6"/>
      <c r="B43" s="6"/>
      <c r="C43" s="6"/>
      <c r="D43" s="6"/>
      <c r="E43" s="6"/>
      <c r="F43" s="6"/>
    </row>
    <row r="44" spans="1:6" ht="15.6" x14ac:dyDescent="0.3">
      <c r="A44" s="6"/>
      <c r="B44" s="6"/>
      <c r="C44" s="6"/>
      <c r="D44" s="6"/>
      <c r="E44" s="6"/>
      <c r="F44" s="6"/>
    </row>
    <row r="45" spans="1:6" ht="15.6" x14ac:dyDescent="0.3">
      <c r="A45" s="6"/>
      <c r="B45" s="6"/>
      <c r="C45" s="6"/>
      <c r="D45" s="6"/>
      <c r="E45" s="6"/>
      <c r="F45" s="6"/>
    </row>
    <row r="46" spans="1:6" ht="15.6" x14ac:dyDescent="0.3">
      <c r="A46" s="6"/>
      <c r="B46" s="6"/>
      <c r="C46" s="6"/>
      <c r="D46" s="6"/>
      <c r="E46" s="6"/>
      <c r="F46" s="6"/>
    </row>
    <row r="47" spans="1:6" ht="15.6" x14ac:dyDescent="0.3">
      <c r="A47" s="6"/>
      <c r="B47" s="6"/>
      <c r="C47" s="6"/>
      <c r="D47" s="6"/>
      <c r="E47" s="6"/>
      <c r="F47" s="6"/>
    </row>
    <row r="48" spans="1:6" ht="15.6" x14ac:dyDescent="0.3">
      <c r="A48" s="6"/>
      <c r="B48" s="6"/>
      <c r="C48" s="6"/>
      <c r="D48" s="6"/>
      <c r="E48" s="6"/>
      <c r="F48" s="6"/>
    </row>
    <row r="49" spans="1:6" ht="15.6" x14ac:dyDescent="0.3">
      <c r="A49" s="6"/>
      <c r="B49" s="6"/>
      <c r="C49" s="6"/>
      <c r="D49" s="6"/>
      <c r="E49" s="6"/>
      <c r="F49" s="6"/>
    </row>
    <row r="50" spans="1:6" ht="15.6" x14ac:dyDescent="0.3">
      <c r="A50" s="6"/>
      <c r="B50" s="6"/>
      <c r="C50" s="6"/>
      <c r="D50" s="6"/>
      <c r="E50" s="6"/>
      <c r="F50" s="6"/>
    </row>
    <row r="51" spans="1:6" ht="15.6" x14ac:dyDescent="0.3">
      <c r="A51" s="6"/>
      <c r="B51" s="6"/>
      <c r="C51" s="6"/>
      <c r="D51" s="6"/>
      <c r="E51" s="6"/>
      <c r="F51" s="6"/>
    </row>
    <row r="52" spans="1:6" ht="15.6" x14ac:dyDescent="0.3">
      <c r="A52" s="6"/>
      <c r="B52" s="6"/>
      <c r="C52" s="6"/>
      <c r="D52" s="6"/>
      <c r="E52" s="6"/>
      <c r="F52" s="6"/>
    </row>
    <row r="53" spans="1:6" ht="15.6" x14ac:dyDescent="0.3">
      <c r="A53" s="6"/>
      <c r="B53" s="6"/>
      <c r="C53" s="6"/>
      <c r="D53" s="6"/>
      <c r="E53" s="6"/>
      <c r="F53" s="6"/>
    </row>
    <row r="54" spans="1:6" ht="15.6" x14ac:dyDescent="0.3">
      <c r="A54" s="6"/>
      <c r="B54" s="6"/>
      <c r="C54" s="6"/>
      <c r="D54" s="6"/>
      <c r="E54" s="6"/>
      <c r="F54" s="6"/>
    </row>
    <row r="55" spans="1:6" ht="15.6" x14ac:dyDescent="0.3">
      <c r="A55" s="6"/>
      <c r="B55" s="6"/>
      <c r="C55" s="6"/>
      <c r="D55" s="6"/>
      <c r="E55" s="6"/>
      <c r="F55" s="6"/>
    </row>
    <row r="56" spans="1:6" ht="15.6" x14ac:dyDescent="0.3">
      <c r="A56" s="6"/>
      <c r="B56" s="6"/>
      <c r="C56" s="6"/>
      <c r="D56" s="6"/>
      <c r="E56" s="6"/>
      <c r="F56" s="6"/>
    </row>
    <row r="57" spans="1:6" ht="15.6" x14ac:dyDescent="0.3">
      <c r="A57" s="6"/>
      <c r="B57" s="6"/>
      <c r="C57" s="6"/>
      <c r="D57" s="6"/>
      <c r="E57" s="6"/>
      <c r="F57" s="6"/>
    </row>
    <row r="58" spans="1:6" ht="15.6" x14ac:dyDescent="0.3">
      <c r="A58" s="6"/>
      <c r="B58" s="6"/>
      <c r="C58" s="6"/>
      <c r="D58" s="6"/>
      <c r="E58" s="6"/>
      <c r="F58" s="6"/>
    </row>
    <row r="59" spans="1:6" ht="15.6" x14ac:dyDescent="0.3">
      <c r="A59" s="6"/>
      <c r="B59" s="6"/>
      <c r="C59" s="6"/>
      <c r="D59" s="6"/>
      <c r="E59" s="6"/>
      <c r="F59" s="6"/>
    </row>
    <row r="60" spans="1:6" ht="15.6" x14ac:dyDescent="0.3">
      <c r="A60" s="6"/>
      <c r="B60" s="6"/>
      <c r="C60" s="6"/>
      <c r="D60" s="6"/>
      <c r="E60" s="6"/>
      <c r="F60" s="6"/>
    </row>
    <row r="61" spans="1:6" ht="15.6" x14ac:dyDescent="0.3">
      <c r="A61" s="6"/>
      <c r="B61" s="6"/>
      <c r="C61" s="6"/>
      <c r="D61" s="6"/>
      <c r="E61" s="6"/>
      <c r="F61" s="6"/>
    </row>
    <row r="62" spans="1:6" ht="15.6" x14ac:dyDescent="0.3">
      <c r="A62" s="6"/>
      <c r="B62" s="6"/>
      <c r="C62" s="6"/>
      <c r="D62" s="6"/>
      <c r="E62" s="6"/>
      <c r="F62" s="6"/>
    </row>
    <row r="63" spans="1:6" ht="15.6" x14ac:dyDescent="0.3">
      <c r="A63" s="6"/>
      <c r="B63" s="6"/>
      <c r="C63" s="6"/>
      <c r="D63" s="6"/>
      <c r="E63" s="6"/>
      <c r="F63" s="6"/>
    </row>
    <row r="64" spans="1:6" ht="15.6" x14ac:dyDescent="0.3">
      <c r="A64" s="6"/>
      <c r="B64" s="6"/>
      <c r="C64" s="6"/>
      <c r="D64" s="6"/>
      <c r="E64" s="6"/>
      <c r="F64" s="6"/>
    </row>
    <row r="65" spans="1:6" ht="15.6" x14ac:dyDescent="0.3">
      <c r="A65" s="6"/>
      <c r="B65" s="6"/>
      <c r="C65" s="6"/>
      <c r="D65" s="6"/>
      <c r="E65" s="6"/>
      <c r="F65" s="6"/>
    </row>
    <row r="66" spans="1:6" ht="15.6" x14ac:dyDescent="0.3">
      <c r="A66" s="6"/>
      <c r="B66" s="6"/>
      <c r="C66" s="6"/>
      <c r="D66" s="6"/>
      <c r="E66" s="6"/>
      <c r="F66" s="6"/>
    </row>
    <row r="67" spans="1:6" ht="15.6" x14ac:dyDescent="0.3">
      <c r="A67" s="6"/>
      <c r="B67" s="6"/>
      <c r="C67" s="6"/>
      <c r="D67" s="6"/>
      <c r="E67" s="6"/>
      <c r="F67" s="6"/>
    </row>
    <row r="68" spans="1:6" ht="15.6" x14ac:dyDescent="0.3">
      <c r="A68" s="6"/>
      <c r="B68" s="6"/>
      <c r="C68" s="6"/>
      <c r="D68" s="6"/>
      <c r="E68" s="6"/>
      <c r="F68" s="6"/>
    </row>
    <row r="69" spans="1:6" ht="15.6" x14ac:dyDescent="0.3">
      <c r="A69" s="6"/>
      <c r="B69" s="6"/>
      <c r="C69" s="6"/>
      <c r="D69" s="6"/>
      <c r="E69" s="6"/>
      <c r="F69" s="6"/>
    </row>
    <row r="70" spans="1:6" ht="15.6" x14ac:dyDescent="0.3">
      <c r="A70" s="6"/>
      <c r="B70" s="6"/>
      <c r="C70" s="6"/>
      <c r="D70" s="6"/>
      <c r="E70" s="6"/>
      <c r="F70" s="6"/>
    </row>
  </sheetData>
  <mergeCells count="4">
    <mergeCell ref="D1:F1"/>
    <mergeCell ref="A1:A2"/>
    <mergeCell ref="C1:C2"/>
    <mergeCell ref="B1:B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5788-395B-4EA5-804C-4061BC8D01BB}">
  <dimension ref="A1:M8"/>
  <sheetViews>
    <sheetView workbookViewId="0">
      <selection activeCell="E6" sqref="E6"/>
    </sheetView>
  </sheetViews>
  <sheetFormatPr defaultRowHeight="14.4" x14ac:dyDescent="0.3"/>
  <cols>
    <col min="1" max="1" width="21.5546875" bestFit="1" customWidth="1"/>
  </cols>
  <sheetData>
    <row r="1" spans="1:13" ht="18" x14ac:dyDescent="0.35">
      <c r="A1" s="35" t="s">
        <v>69</v>
      </c>
      <c r="B1" s="35"/>
      <c r="C1" s="35"/>
      <c r="D1" s="35"/>
    </row>
    <row r="3" spans="1:13" s="14" customFormat="1" ht="15.6" x14ac:dyDescent="0.3">
      <c r="A3" s="13"/>
      <c r="B3" s="13" t="s">
        <v>20</v>
      </c>
      <c r="C3" s="13" t="s">
        <v>21</v>
      </c>
      <c r="D3" s="13" t="s">
        <v>22</v>
      </c>
      <c r="E3" s="13" t="s">
        <v>29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30</v>
      </c>
      <c r="M3" s="13" t="s">
        <v>31</v>
      </c>
    </row>
    <row r="4" spans="1:13" ht="15.6" x14ac:dyDescent="0.3">
      <c r="A4" s="15" t="s">
        <v>10</v>
      </c>
      <c r="B4" s="10">
        <f>Items!D3 * Items!D4 * Items!D5</f>
        <v>10000</v>
      </c>
      <c r="C4" s="10">
        <f>B4*1.05</f>
        <v>10500</v>
      </c>
      <c r="D4" s="10">
        <f t="shared" ref="D4:M4" si="0">C4*1.05</f>
        <v>11025</v>
      </c>
      <c r="E4" s="10">
        <f t="shared" si="0"/>
        <v>11576.25</v>
      </c>
      <c r="F4" s="10">
        <f t="shared" si="0"/>
        <v>12155.0625</v>
      </c>
      <c r="G4" s="10">
        <f t="shared" si="0"/>
        <v>12762.815625000001</v>
      </c>
      <c r="H4" s="10">
        <f t="shared" si="0"/>
        <v>13400.956406250001</v>
      </c>
      <c r="I4" s="10">
        <f t="shared" si="0"/>
        <v>14071.004226562502</v>
      </c>
      <c r="J4" s="10">
        <f t="shared" si="0"/>
        <v>14774.554437890627</v>
      </c>
      <c r="K4" s="10">
        <f t="shared" si="0"/>
        <v>15513.28215978516</v>
      </c>
      <c r="L4" s="10">
        <f t="shared" si="0"/>
        <v>16288.946267774418</v>
      </c>
      <c r="M4" s="10">
        <f t="shared" si="0"/>
        <v>17103.393581163138</v>
      </c>
    </row>
    <row r="5" spans="1:13" ht="15.6" x14ac:dyDescent="0.3">
      <c r="A5" s="15" t="s">
        <v>11</v>
      </c>
      <c r="B5" s="10">
        <f>(Items!$D$6 * Items!$D$7 * Items!$D$23)/12</f>
        <v>8333.3333333333339</v>
      </c>
      <c r="C5" s="10">
        <f>(Items!$D$6 * Items!$D$7 * Items!$D$23)/12</f>
        <v>8333.3333333333339</v>
      </c>
      <c r="D5" s="10">
        <f>(Items!$D$6 * Items!$D$7 * Items!$D$23)/12</f>
        <v>8333.3333333333339</v>
      </c>
      <c r="E5" s="10">
        <f>(Items!$D$6 * Items!$D$7 * Items!$D$23)/12</f>
        <v>8333.3333333333339</v>
      </c>
      <c r="F5" s="10">
        <f>(Items!$D$6 * Items!$D$7 * Items!$D$23)/12</f>
        <v>8333.3333333333339</v>
      </c>
      <c r="G5" s="10">
        <f>(Items!$D$6 * Items!$D$7 * Items!$D$23)/12</f>
        <v>8333.3333333333339</v>
      </c>
      <c r="H5" s="10">
        <f>(Items!$D$6 * Items!$D$7 * Items!$D$23)/12</f>
        <v>8333.3333333333339</v>
      </c>
      <c r="I5" s="10">
        <f>(Items!$D$6 * Items!$D$7 * Items!$D$23)/12</f>
        <v>8333.3333333333339</v>
      </c>
      <c r="J5" s="10">
        <f>(Items!$D$6 * Items!$D$7 * Items!$D$23)/12</f>
        <v>8333.3333333333339</v>
      </c>
      <c r="K5" s="10">
        <f>(Items!$D$6 * Items!$D$7 * Items!$D$23)/12</f>
        <v>8333.3333333333339</v>
      </c>
      <c r="L5" s="10">
        <f>(Items!$D$6 * Items!$D$7 * Items!$D$23)/12</f>
        <v>8333.3333333333339</v>
      </c>
      <c r="M5" s="10">
        <f>(Items!$D$6 * Items!$D$7 * Items!$D$23)/12</f>
        <v>8333.3333333333339</v>
      </c>
    </row>
    <row r="6" spans="1:13" ht="15.6" x14ac:dyDescent="0.3">
      <c r="A6" s="15" t="s">
        <v>55</v>
      </c>
      <c r="B6" s="10">
        <f>Items!D18</f>
        <v>1000</v>
      </c>
      <c r="C6" s="10">
        <f>B6*1.01</f>
        <v>1010</v>
      </c>
      <c r="D6" s="10">
        <f t="shared" ref="D6:M6" si="1">C6*1.01</f>
        <v>1020.1</v>
      </c>
      <c r="E6" s="10">
        <f t="shared" si="1"/>
        <v>1030.3009999999999</v>
      </c>
      <c r="F6" s="10">
        <f t="shared" si="1"/>
        <v>1040.60401</v>
      </c>
      <c r="G6" s="10">
        <f t="shared" si="1"/>
        <v>1051.0100500999999</v>
      </c>
      <c r="H6" s="10">
        <f t="shared" si="1"/>
        <v>1061.5201506009998</v>
      </c>
      <c r="I6" s="10">
        <f t="shared" si="1"/>
        <v>1072.1353521070098</v>
      </c>
      <c r="J6" s="10">
        <f t="shared" si="1"/>
        <v>1082.8567056280799</v>
      </c>
      <c r="K6" s="10">
        <f t="shared" si="1"/>
        <v>1093.6852726843608</v>
      </c>
      <c r="L6" s="10">
        <f t="shared" si="1"/>
        <v>1104.6221254112045</v>
      </c>
      <c r="M6" s="10">
        <f t="shared" si="1"/>
        <v>1115.6683466653164</v>
      </c>
    </row>
    <row r="7" spans="1:13" ht="15.6" x14ac:dyDescent="0.3">
      <c r="A7" s="15" t="s">
        <v>56</v>
      </c>
      <c r="B7" s="10">
        <f>(Items!$D$23 * Items!$D$19)/12</f>
        <v>333.33333333333331</v>
      </c>
      <c r="C7" s="10">
        <f>(Items!$D$23 * Items!$D$19)/12</f>
        <v>333.33333333333331</v>
      </c>
      <c r="D7" s="10">
        <f>(Items!$D$23 * Items!$D$19)/12</f>
        <v>333.33333333333331</v>
      </c>
      <c r="E7" s="10">
        <f>(Items!$D$23 * Items!$D$19)/12</f>
        <v>333.33333333333331</v>
      </c>
      <c r="F7" s="10">
        <f>(Items!$D$23 * Items!$D$19)/12</f>
        <v>333.33333333333331</v>
      </c>
      <c r="G7" s="10">
        <f>(Items!$D$23 * Items!$D$19)/12</f>
        <v>333.33333333333331</v>
      </c>
      <c r="H7" s="10">
        <f>(Items!$D$23 * Items!$D$19)/12</f>
        <v>333.33333333333331</v>
      </c>
      <c r="I7" s="10">
        <f>(Items!$D$23 * Items!$D$19)/12</f>
        <v>333.33333333333331</v>
      </c>
      <c r="J7" s="10">
        <f>(Items!$D$23 * Items!$D$19)/12</f>
        <v>333.33333333333331</v>
      </c>
      <c r="K7" s="10">
        <f>(Items!$D$23 * Items!$D$19)/12</f>
        <v>333.33333333333331</v>
      </c>
      <c r="L7" s="10">
        <f>(Items!$D$23 * Items!$D$19)/12</f>
        <v>333.33333333333331</v>
      </c>
      <c r="M7" s="10">
        <f>(Items!$D$23 * Items!$D$19)/12</f>
        <v>333.33333333333331</v>
      </c>
    </row>
    <row r="8" spans="1:13" s="14" customFormat="1" ht="15.6" x14ac:dyDescent="0.3">
      <c r="A8" s="13" t="s">
        <v>32</v>
      </c>
      <c r="B8" s="13">
        <f>SUM(B4:B7)</f>
        <v>19666.666666666668</v>
      </c>
      <c r="C8" s="13">
        <f t="shared" ref="C8:M8" si="2">SUM(C4:C7)</f>
        <v>20176.666666666668</v>
      </c>
      <c r="D8" s="13">
        <f t="shared" si="2"/>
        <v>20711.766666666666</v>
      </c>
      <c r="E8" s="13">
        <f t="shared" si="2"/>
        <v>21273.217666666667</v>
      </c>
      <c r="F8" s="13">
        <f t="shared" si="2"/>
        <v>21862.333176666667</v>
      </c>
      <c r="G8" s="13">
        <f t="shared" si="2"/>
        <v>22480.492341766669</v>
      </c>
      <c r="H8" s="13">
        <f t="shared" si="2"/>
        <v>23129.143223517665</v>
      </c>
      <c r="I8" s="13">
        <f t="shared" si="2"/>
        <v>23809.806245336178</v>
      </c>
      <c r="J8" s="13">
        <f t="shared" si="2"/>
        <v>24524.077810185376</v>
      </c>
      <c r="K8" s="13">
        <f t="shared" si="2"/>
        <v>25273.634099136187</v>
      </c>
      <c r="L8" s="13">
        <f t="shared" si="2"/>
        <v>26060.23505985229</v>
      </c>
      <c r="M8" s="13">
        <f t="shared" si="2"/>
        <v>26885.728594495122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B4F5-A972-48D9-950F-DF68B158135A}">
  <dimension ref="A1:M13"/>
  <sheetViews>
    <sheetView workbookViewId="0">
      <selection activeCell="B11" sqref="B11"/>
    </sheetView>
  </sheetViews>
  <sheetFormatPr defaultRowHeight="14.4" x14ac:dyDescent="0.3"/>
  <cols>
    <col min="1" max="1" width="27" bestFit="1" customWidth="1"/>
  </cols>
  <sheetData>
    <row r="1" spans="1:13" ht="18" x14ac:dyDescent="0.35">
      <c r="A1" s="35" t="s">
        <v>74</v>
      </c>
      <c r="B1" s="35"/>
      <c r="C1" s="35"/>
      <c r="D1" s="35"/>
    </row>
    <row r="3" spans="1:13" s="14" customFormat="1" ht="15.6" x14ac:dyDescent="0.3">
      <c r="A3" s="13"/>
      <c r="B3" s="13" t="s">
        <v>20</v>
      </c>
      <c r="C3" s="13" t="s">
        <v>21</v>
      </c>
      <c r="D3" s="13" t="s">
        <v>22</v>
      </c>
      <c r="E3" s="13" t="s">
        <v>29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30</v>
      </c>
      <c r="M3" s="13" t="s">
        <v>31</v>
      </c>
    </row>
    <row r="4" spans="1:13" x14ac:dyDescent="0.3">
      <c r="A4" s="11" t="s">
        <v>12</v>
      </c>
      <c r="B4" s="10">
        <f>(Items!$D$9)/12</f>
        <v>250</v>
      </c>
      <c r="C4" s="10">
        <f>(Items!$D$9)/12</f>
        <v>250</v>
      </c>
      <c r="D4" s="10">
        <f>(Items!$D$9)/12</f>
        <v>250</v>
      </c>
      <c r="E4" s="10">
        <f>(Items!$D$9)/12</f>
        <v>250</v>
      </c>
      <c r="F4" s="10">
        <f>(Items!$D$9)/12</f>
        <v>250</v>
      </c>
      <c r="G4" s="10">
        <f>(Items!$D$9)/12</f>
        <v>250</v>
      </c>
      <c r="H4" s="10">
        <f>(Items!$D$9)/12</f>
        <v>250</v>
      </c>
      <c r="I4" s="10">
        <f>(Items!$D$9)/12</f>
        <v>250</v>
      </c>
      <c r="J4" s="10">
        <f>(Items!$D$9)/12</f>
        <v>250</v>
      </c>
      <c r="K4" s="10">
        <f>(Items!$D$9)/12</f>
        <v>250</v>
      </c>
      <c r="L4" s="10">
        <f>(Items!$D$9)/12</f>
        <v>250</v>
      </c>
      <c r="M4" s="10">
        <f>(Items!$D$9)/12</f>
        <v>250</v>
      </c>
    </row>
    <row r="5" spans="1:13" x14ac:dyDescent="0.3">
      <c r="A5" s="11" t="s">
        <v>14</v>
      </c>
      <c r="B5" s="10">
        <f>(Items!$D$10)/12</f>
        <v>166.66666666666666</v>
      </c>
      <c r="C5" s="10">
        <f>(Items!$D$10)/12</f>
        <v>166.66666666666666</v>
      </c>
      <c r="D5" s="10">
        <f>(Items!$D$10)/12</f>
        <v>166.66666666666666</v>
      </c>
      <c r="E5" s="10">
        <f>(Items!$D$10)/12</f>
        <v>166.66666666666666</v>
      </c>
      <c r="F5" s="10">
        <f>(Items!$D$10)/12</f>
        <v>166.66666666666666</v>
      </c>
      <c r="G5" s="10">
        <f>(Items!$D$10)/12</f>
        <v>166.66666666666666</v>
      </c>
      <c r="H5" s="10">
        <f>(Items!$D$10)/12</f>
        <v>166.66666666666666</v>
      </c>
      <c r="I5" s="10">
        <f>(Items!$D$10)/12</f>
        <v>166.66666666666666</v>
      </c>
      <c r="J5" s="10">
        <f>(Items!$D$10)/12</f>
        <v>166.66666666666666</v>
      </c>
      <c r="K5" s="10">
        <f>(Items!$D$10)/12</f>
        <v>166.66666666666666</v>
      </c>
      <c r="L5" s="10">
        <f>(Items!$D$10)/12</f>
        <v>166.66666666666666</v>
      </c>
      <c r="M5" s="10">
        <f>(Items!$D$10)/12</f>
        <v>166.66666666666666</v>
      </c>
    </row>
    <row r="6" spans="1:13" x14ac:dyDescent="0.3">
      <c r="A6" s="11" t="s">
        <v>15</v>
      </c>
      <c r="B6" s="10">
        <f>(Items!$D$11)/12</f>
        <v>41.666666666666664</v>
      </c>
      <c r="C6" s="10">
        <f>(Items!$D$11)/12</f>
        <v>41.666666666666664</v>
      </c>
      <c r="D6" s="10">
        <f>(Items!$D$11)/12</f>
        <v>41.666666666666664</v>
      </c>
      <c r="E6" s="10">
        <f>(Items!$D$11)/12</f>
        <v>41.666666666666664</v>
      </c>
      <c r="F6" s="10">
        <f>(Items!$D$11)/12</f>
        <v>41.666666666666664</v>
      </c>
      <c r="G6" s="10">
        <f>(Items!$D$11)/12</f>
        <v>41.666666666666664</v>
      </c>
      <c r="H6" s="10">
        <f>(Items!$D$11)/12</f>
        <v>41.666666666666664</v>
      </c>
      <c r="I6" s="10">
        <f>(Items!$D$11)/12</f>
        <v>41.666666666666664</v>
      </c>
      <c r="J6" s="10">
        <f>(Items!$D$11)/12</f>
        <v>41.666666666666664</v>
      </c>
      <c r="K6" s="10">
        <f>(Items!$D$11)/12</f>
        <v>41.666666666666664</v>
      </c>
      <c r="L6" s="10">
        <f>(Items!$D$11)/12</f>
        <v>41.666666666666664</v>
      </c>
      <c r="M6" s="10">
        <f>(Items!$D$11)/12</f>
        <v>41.666666666666664</v>
      </c>
    </row>
    <row r="7" spans="1:13" x14ac:dyDescent="0.3">
      <c r="A7" s="11" t="s">
        <v>13</v>
      </c>
      <c r="B7" s="10">
        <f>(Items!$D$8)</f>
        <v>50</v>
      </c>
      <c r="C7" s="10">
        <f>(Items!$D$8)</f>
        <v>50</v>
      </c>
      <c r="D7" s="10">
        <f>(Items!$D$8)</f>
        <v>50</v>
      </c>
      <c r="E7" s="10">
        <f>(Items!$D$8)</f>
        <v>50</v>
      </c>
      <c r="F7" s="10">
        <f>(Items!$D$8)</f>
        <v>50</v>
      </c>
      <c r="G7" s="10">
        <f>(Items!$D$8)</f>
        <v>50</v>
      </c>
      <c r="H7" s="10">
        <f>(Items!$D$8)</f>
        <v>50</v>
      </c>
      <c r="I7" s="10">
        <f>(Items!$D$8)</f>
        <v>50</v>
      </c>
      <c r="J7" s="10">
        <f>(Items!$D$8)</f>
        <v>50</v>
      </c>
      <c r="K7" s="10">
        <f>(Items!$D$8)</f>
        <v>50</v>
      </c>
      <c r="L7" s="10">
        <f>(Items!$D$8)</f>
        <v>50</v>
      </c>
      <c r="M7" s="10">
        <f>(Items!$D$8)</f>
        <v>50</v>
      </c>
    </row>
    <row r="8" spans="1:13" x14ac:dyDescent="0.3">
      <c r="A8" s="11" t="s">
        <v>66</v>
      </c>
      <c r="B8" s="19">
        <f>(Items!$D$17)</f>
        <v>6000</v>
      </c>
      <c r="C8" s="19">
        <f>(Items!$D$17)</f>
        <v>6000</v>
      </c>
      <c r="D8" s="19">
        <f>(Items!$D$17)</f>
        <v>6000</v>
      </c>
      <c r="E8" s="19">
        <f>(Items!$D$17)</f>
        <v>6000</v>
      </c>
      <c r="F8" s="19">
        <f>(Items!$D$17)</f>
        <v>6000</v>
      </c>
      <c r="G8" s="19">
        <f>(Items!$D$17)</f>
        <v>6000</v>
      </c>
      <c r="H8" s="19">
        <f>(Items!$D$17)</f>
        <v>6000</v>
      </c>
      <c r="I8" s="19">
        <f>(Items!$D$17)</f>
        <v>6000</v>
      </c>
      <c r="J8" s="19">
        <f>(Items!$D$17)</f>
        <v>6000</v>
      </c>
      <c r="K8" s="19">
        <f>(Items!$D$17)</f>
        <v>6000</v>
      </c>
      <c r="L8" s="19">
        <f>(Items!$D$17)</f>
        <v>6000</v>
      </c>
      <c r="M8" s="19">
        <f>(Items!$D$17)</f>
        <v>6000</v>
      </c>
    </row>
    <row r="9" spans="1:13" x14ac:dyDescent="0.3">
      <c r="A9" s="11" t="s">
        <v>41</v>
      </c>
      <c r="B9" s="19">
        <f>(Items!$D$14)</f>
        <v>700</v>
      </c>
      <c r="C9" s="19">
        <f>(Items!$D$14)</f>
        <v>700</v>
      </c>
      <c r="D9" s="19">
        <f>(Items!$D$14)</f>
        <v>700</v>
      </c>
      <c r="E9" s="19">
        <f>(Items!$D$14)</f>
        <v>700</v>
      </c>
      <c r="F9" s="19">
        <f>(Items!$D$14)</f>
        <v>700</v>
      </c>
      <c r="G9" s="19">
        <f>(Items!$D$14)</f>
        <v>700</v>
      </c>
      <c r="H9" s="19">
        <f>(Items!$D$14)</f>
        <v>700</v>
      </c>
      <c r="I9" s="19">
        <f>(Items!$D$14)</f>
        <v>700</v>
      </c>
      <c r="J9" s="19">
        <f>(Items!$D$14)</f>
        <v>700</v>
      </c>
      <c r="K9" s="19">
        <f>(Items!$D$14)</f>
        <v>700</v>
      </c>
      <c r="L9" s="19">
        <f>(Items!$D$14)</f>
        <v>700</v>
      </c>
      <c r="M9" s="19">
        <f>(Items!$D$14)</f>
        <v>700</v>
      </c>
    </row>
    <row r="10" spans="1:13" x14ac:dyDescent="0.3">
      <c r="A10" s="11" t="s">
        <v>72</v>
      </c>
      <c r="B10" s="10">
        <f>(Items!$D$23 * Items!$D$22)/12</f>
        <v>2000</v>
      </c>
      <c r="C10" s="10">
        <f>(Items!$D$23 * Items!$D$22)/12</f>
        <v>2000</v>
      </c>
      <c r="D10" s="10">
        <f>(Items!$D$23 * Items!$D$22)/12</f>
        <v>2000</v>
      </c>
      <c r="E10" s="10">
        <f>(Items!$D$23 * Items!$D$22)/12</f>
        <v>2000</v>
      </c>
      <c r="F10" s="10">
        <f>(Items!$D$23 * Items!$D$22)/12</f>
        <v>2000</v>
      </c>
      <c r="G10" s="10">
        <f>(Items!$D$23 * Items!$D$22)/12</f>
        <v>2000</v>
      </c>
      <c r="H10" s="10">
        <f>(Items!$D$23 * Items!$D$22)/12</f>
        <v>2000</v>
      </c>
      <c r="I10" s="10">
        <f>(Items!$D$23 * Items!$D$22)/12</f>
        <v>2000</v>
      </c>
      <c r="J10" s="10">
        <f>(Items!$D$23 * Items!$D$22)/12</f>
        <v>2000</v>
      </c>
      <c r="K10" s="10">
        <f>(Items!$D$23 * Items!$D$22)/12</f>
        <v>2000</v>
      </c>
      <c r="L10" s="10">
        <f>(Items!$D$23 * Items!$D$22)/12</f>
        <v>2000</v>
      </c>
      <c r="M10" s="10">
        <f>(Items!$D$23 * Items!$D$22)/12</f>
        <v>2000</v>
      </c>
    </row>
    <row r="11" spans="1:13" x14ac:dyDescent="0.3">
      <c r="A11" s="11" t="s">
        <v>73</v>
      </c>
      <c r="B11" s="19">
        <f>(Items!$D$21)/12</f>
        <v>2500</v>
      </c>
      <c r="C11" s="19">
        <f>(Items!$D$21)/12</f>
        <v>2500</v>
      </c>
      <c r="D11" s="19">
        <f>(Items!$D$21)/12</f>
        <v>2500</v>
      </c>
      <c r="E11" s="19">
        <f>(Items!$D$21)/12</f>
        <v>2500</v>
      </c>
      <c r="F11" s="19">
        <f>(Items!$D$21)/12</f>
        <v>2500</v>
      </c>
      <c r="G11" s="19">
        <f>(Items!$D$21)/12</f>
        <v>2500</v>
      </c>
      <c r="H11" s="19">
        <f>(Items!$D$21)/12</f>
        <v>2500</v>
      </c>
      <c r="I11" s="19">
        <f>(Items!$D$21)/12</f>
        <v>2500</v>
      </c>
      <c r="J11" s="19">
        <f>(Items!$D$21)/12</f>
        <v>2500</v>
      </c>
      <c r="K11" s="19">
        <f>(Items!$D$21)/12</f>
        <v>2500</v>
      </c>
      <c r="L11" s="19">
        <f>(Items!$D$21)/12</f>
        <v>2500</v>
      </c>
      <c r="M11" s="19">
        <f>(Items!$D$21)/12</f>
        <v>2500</v>
      </c>
    </row>
    <row r="12" spans="1:13" x14ac:dyDescent="0.3">
      <c r="A12" s="11" t="s">
        <v>59</v>
      </c>
      <c r="B12" s="10">
        <f>Income!B8 * Items!$D$20</f>
        <v>4326.666666666667</v>
      </c>
      <c r="C12" s="10">
        <f>Income!C8 * Items!$D$20</f>
        <v>4438.8666666666668</v>
      </c>
      <c r="D12" s="10">
        <f>Income!D8 * Items!$D$20</f>
        <v>4556.5886666666665</v>
      </c>
      <c r="E12" s="10">
        <f>Income!E8 * Items!$D$20</f>
        <v>4680.1078866666667</v>
      </c>
      <c r="F12" s="10">
        <f>Income!F8 * Items!$D$20</f>
        <v>4809.7132988666672</v>
      </c>
      <c r="G12" s="10">
        <f>Income!G8 * Items!$D$20</f>
        <v>4945.7083151886673</v>
      </c>
      <c r="H12" s="10">
        <f>Income!H8 * Items!$D$20</f>
        <v>5088.4115091738868</v>
      </c>
      <c r="I12" s="10">
        <f>Income!I8 * Items!$D$20</f>
        <v>5238.1573739739588</v>
      </c>
      <c r="J12" s="10">
        <f>Income!J8 * Items!$D$20</f>
        <v>5395.2971182407828</v>
      </c>
      <c r="K12" s="10">
        <f>Income!K8 * Items!$D$20</f>
        <v>5560.1995018099615</v>
      </c>
      <c r="L12" s="10">
        <f>Income!L8 * Items!$D$20</f>
        <v>5733.251713167504</v>
      </c>
      <c r="M12" s="10">
        <f>Income!M8 * Items!$D$20</f>
        <v>5914.8602907889272</v>
      </c>
    </row>
    <row r="13" spans="1:13" s="14" customFormat="1" ht="15.6" x14ac:dyDescent="0.3">
      <c r="A13" s="18" t="s">
        <v>32</v>
      </c>
      <c r="B13" s="13">
        <f>SUM(B4:B12)</f>
        <v>16035</v>
      </c>
      <c r="C13" s="13">
        <f t="shared" ref="C13:M13" si="0">SUM(C4:C12)</f>
        <v>16147.199999999999</v>
      </c>
      <c r="D13" s="13">
        <f t="shared" si="0"/>
        <v>16264.921999999999</v>
      </c>
      <c r="E13" s="13">
        <f t="shared" si="0"/>
        <v>16388.441220000001</v>
      </c>
      <c r="F13" s="13">
        <f t="shared" si="0"/>
        <v>16518.046632199999</v>
      </c>
      <c r="G13" s="13">
        <f t="shared" si="0"/>
        <v>16654.041648521998</v>
      </c>
      <c r="H13" s="13">
        <f t="shared" si="0"/>
        <v>16796.744842507218</v>
      </c>
      <c r="I13" s="13">
        <f t="shared" si="0"/>
        <v>16946.49070730729</v>
      </c>
      <c r="J13" s="13">
        <f t="shared" si="0"/>
        <v>17103.630451574114</v>
      </c>
      <c r="K13" s="13">
        <f t="shared" si="0"/>
        <v>17268.532835143295</v>
      </c>
      <c r="L13" s="13">
        <f t="shared" si="0"/>
        <v>17441.585046500837</v>
      </c>
      <c r="M13" s="13">
        <f t="shared" si="0"/>
        <v>17623.193624122257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0E1A-57F9-4562-8E84-CBDF3E75FFE7}">
  <dimension ref="A1:N20"/>
  <sheetViews>
    <sheetView workbookViewId="0">
      <selection activeCell="B10" sqref="B10"/>
    </sheetView>
  </sheetViews>
  <sheetFormatPr defaultRowHeight="14.4" x14ac:dyDescent="0.3"/>
  <cols>
    <col min="1" max="1" width="35" customWidth="1"/>
    <col min="2" max="2" width="9.44140625" bestFit="1" customWidth="1"/>
  </cols>
  <sheetData>
    <row r="1" spans="1:14" ht="18" x14ac:dyDescent="0.35">
      <c r="A1" s="35" t="s">
        <v>75</v>
      </c>
      <c r="B1" s="35"/>
      <c r="C1" s="35"/>
      <c r="D1" s="35"/>
    </row>
    <row r="3" spans="1:14" ht="15.6" x14ac:dyDescent="0.3">
      <c r="A3" s="13"/>
      <c r="B3" s="13" t="s">
        <v>20</v>
      </c>
      <c r="C3" s="13" t="s">
        <v>21</v>
      </c>
      <c r="D3" s="13" t="s">
        <v>22</v>
      </c>
      <c r="E3" s="13" t="s">
        <v>29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30</v>
      </c>
      <c r="M3" s="13" t="s">
        <v>31</v>
      </c>
      <c r="N3" s="13" t="s">
        <v>32</v>
      </c>
    </row>
    <row r="4" spans="1:14" s="2" customFormat="1" ht="15.6" x14ac:dyDescent="0.3">
      <c r="A4" s="20" t="s">
        <v>76</v>
      </c>
      <c r="B4" s="21">
        <f>Income!B8</f>
        <v>19666.666666666668</v>
      </c>
      <c r="C4" s="21">
        <f>Income!C8</f>
        <v>20176.666666666668</v>
      </c>
      <c r="D4" s="21">
        <f>Income!D8</f>
        <v>20711.766666666666</v>
      </c>
      <c r="E4" s="21">
        <f>Income!E8</f>
        <v>21273.217666666667</v>
      </c>
      <c r="F4" s="21">
        <f>Income!F8</f>
        <v>21862.333176666667</v>
      </c>
      <c r="G4" s="21">
        <f>Income!G8</f>
        <v>22480.492341766669</v>
      </c>
      <c r="H4" s="21">
        <f>Income!H8</f>
        <v>23129.143223517665</v>
      </c>
      <c r="I4" s="21">
        <f>Income!I8</f>
        <v>23809.806245336178</v>
      </c>
      <c r="J4" s="21">
        <f>Income!J8</f>
        <v>24524.077810185376</v>
      </c>
      <c r="K4" s="21">
        <f>Income!K8</f>
        <v>25273.634099136187</v>
      </c>
      <c r="L4" s="21">
        <f>Income!L8</f>
        <v>26060.23505985229</v>
      </c>
      <c r="M4" s="21">
        <f>Income!M8</f>
        <v>26885.728594495122</v>
      </c>
      <c r="N4" s="21">
        <f>SUM(B4:M4)</f>
        <v>275853.76821762283</v>
      </c>
    </row>
    <row r="5" spans="1:14" s="2" customFormat="1" ht="31.2" customHeight="1" x14ac:dyDescent="0.3">
      <c r="A5" s="20" t="s">
        <v>77</v>
      </c>
      <c r="B5" s="21">
        <f>Expenses!B13 - Expenses!B12</f>
        <v>11708.333333333332</v>
      </c>
      <c r="C5" s="21">
        <f>Expenses!C13 - Expenses!C12</f>
        <v>11708.333333333332</v>
      </c>
      <c r="D5" s="21">
        <f>Expenses!D13 - Expenses!D12</f>
        <v>11708.333333333332</v>
      </c>
      <c r="E5" s="21">
        <f>Expenses!E13 - Expenses!E12</f>
        <v>11708.333333333334</v>
      </c>
      <c r="F5" s="21">
        <f>Expenses!F13 - Expenses!F12</f>
        <v>11708.333333333332</v>
      </c>
      <c r="G5" s="21">
        <f>Expenses!G13 - Expenses!G12</f>
        <v>11708.33333333333</v>
      </c>
      <c r="H5" s="21">
        <f>Expenses!H13 - Expenses!H12</f>
        <v>11708.333333333332</v>
      </c>
      <c r="I5" s="21">
        <f>Expenses!I13 - Expenses!I12</f>
        <v>11708.333333333332</v>
      </c>
      <c r="J5" s="21">
        <f>Expenses!J13 - Expenses!J12</f>
        <v>11708.333333333332</v>
      </c>
      <c r="K5" s="21">
        <f>Expenses!K13 - Expenses!K12</f>
        <v>11708.333333333332</v>
      </c>
      <c r="L5" s="21">
        <f>Expenses!L13 - Expenses!L12</f>
        <v>11708.333333333332</v>
      </c>
      <c r="M5" s="21">
        <f>Expenses!M13 - Expenses!M12</f>
        <v>11708.33333333333</v>
      </c>
      <c r="N5" s="21">
        <f t="shared" ref="N5:N7" si="0">SUM(B5:M5)</f>
        <v>140499.99999999997</v>
      </c>
    </row>
    <row r="6" spans="1:14" s="2" customFormat="1" ht="15.6" x14ac:dyDescent="0.3">
      <c r="A6" s="20" t="s">
        <v>78</v>
      </c>
      <c r="B6" s="21">
        <f>B4-B5</f>
        <v>7958.3333333333358</v>
      </c>
      <c r="C6" s="21">
        <f t="shared" ref="C6:M6" si="1">C4-C5</f>
        <v>8468.3333333333358</v>
      </c>
      <c r="D6" s="21">
        <f t="shared" si="1"/>
        <v>9003.4333333333343</v>
      </c>
      <c r="E6" s="21">
        <f t="shared" si="1"/>
        <v>9564.8843333333334</v>
      </c>
      <c r="F6" s="21">
        <f t="shared" si="1"/>
        <v>10153.999843333335</v>
      </c>
      <c r="G6" s="21">
        <f t="shared" si="1"/>
        <v>10772.159008433338</v>
      </c>
      <c r="H6" s="21">
        <f t="shared" si="1"/>
        <v>11420.809890184333</v>
      </c>
      <c r="I6" s="21">
        <f t="shared" si="1"/>
        <v>12101.472912002846</v>
      </c>
      <c r="J6" s="21">
        <f t="shared" si="1"/>
        <v>12815.744476852044</v>
      </c>
      <c r="K6" s="21">
        <f t="shared" si="1"/>
        <v>13565.300765802855</v>
      </c>
      <c r="L6" s="21">
        <f t="shared" si="1"/>
        <v>14351.901726518958</v>
      </c>
      <c r="M6" s="21">
        <f t="shared" si="1"/>
        <v>15177.395261161791</v>
      </c>
      <c r="N6" s="21">
        <f t="shared" si="0"/>
        <v>135353.76821762283</v>
      </c>
    </row>
    <row r="7" spans="1:14" s="2" customFormat="1" ht="15.6" x14ac:dyDescent="0.3">
      <c r="A7" s="20" t="s">
        <v>79</v>
      </c>
      <c r="B7" s="21">
        <f>B6-Expenses!B12</f>
        <v>3631.6666666666688</v>
      </c>
      <c r="C7" s="21">
        <f>C6-Expenses!C12</f>
        <v>4029.466666666669</v>
      </c>
      <c r="D7" s="21">
        <f>D6-Expenses!D12</f>
        <v>4446.8446666666678</v>
      </c>
      <c r="E7" s="21">
        <f>E6-Expenses!E12</f>
        <v>4884.7764466666667</v>
      </c>
      <c r="F7" s="21">
        <f>F6-Expenses!F12</f>
        <v>5344.2865444666677</v>
      </c>
      <c r="G7" s="21">
        <f>G6-Expenses!G12</f>
        <v>5826.4506932446711</v>
      </c>
      <c r="H7" s="21">
        <f>H6-Expenses!H12</f>
        <v>6332.3983810104464</v>
      </c>
      <c r="I7" s="21">
        <f>I6-Expenses!I12</f>
        <v>6863.3155380288872</v>
      </c>
      <c r="J7" s="21">
        <f>J6-Expenses!J12</f>
        <v>7420.4473586112608</v>
      </c>
      <c r="K7" s="21">
        <f>K6-Expenses!K12</f>
        <v>8005.1012639928931</v>
      </c>
      <c r="L7" s="21">
        <f>L6-Expenses!L12</f>
        <v>8618.6500133514528</v>
      </c>
      <c r="M7" s="21">
        <f>M6-Expenses!M12</f>
        <v>9262.5349703728643</v>
      </c>
      <c r="N7" s="21">
        <f t="shared" si="0"/>
        <v>74665.939209745819</v>
      </c>
    </row>
    <row r="8" spans="1:14" s="25" customFormat="1" ht="15.6" x14ac:dyDescent="0.3">
      <c r="A8" s="23" t="s">
        <v>80</v>
      </c>
      <c r="B8" s="24">
        <f>B7/B4</f>
        <v>0.18466101694915263</v>
      </c>
      <c r="C8" s="24">
        <f t="shared" ref="C8:N8" si="2">C7/C4</f>
        <v>0.1997092350900381</v>
      </c>
      <c r="D8" s="24">
        <f t="shared" si="2"/>
        <v>0.21470136943090326</v>
      </c>
      <c r="E8" s="24">
        <f t="shared" si="2"/>
        <v>0.22962094983499831</v>
      </c>
      <c r="F8" s="24">
        <f t="shared" si="2"/>
        <v>0.24445179301221806</v>
      </c>
      <c r="G8" s="24">
        <f t="shared" si="2"/>
        <v>0.25917807335650145</v>
      </c>
      <c r="H8" s="24">
        <f t="shared" si="2"/>
        <v>0.27378439053339759</v>
      </c>
      <c r="I8" s="24">
        <f t="shared" si="2"/>
        <v>0.2882558332188554</v>
      </c>
      <c r="J8" s="24">
        <f t="shared" si="2"/>
        <v>0.30257803845041586</v>
      </c>
      <c r="K8" s="24">
        <f t="shared" si="2"/>
        <v>0.31673724611952403</v>
      </c>
      <c r="L8" s="24">
        <f t="shared" si="2"/>
        <v>0.330720348207032</v>
      </c>
      <c r="M8" s="24">
        <f t="shared" si="2"/>
        <v>0.34451493244149528</v>
      </c>
      <c r="N8" s="24">
        <f t="shared" si="2"/>
        <v>0.27067217421819439</v>
      </c>
    </row>
    <row r="9" spans="1:14" s="25" customFormat="1" ht="15.6" x14ac:dyDescent="0.3">
      <c r="A9" s="23" t="s">
        <v>81</v>
      </c>
      <c r="B9" s="24">
        <f>B6/B4</f>
        <v>0.40466101694915263</v>
      </c>
      <c r="C9" s="24">
        <f>C6/C4</f>
        <v>0.4197092350900381</v>
      </c>
      <c r="D9" s="24">
        <f>D6/D4</f>
        <v>0.43470136943090326</v>
      </c>
      <c r="E9" s="24">
        <f>E6/E4</f>
        <v>0.44962094983499828</v>
      </c>
      <c r="F9" s="24">
        <f>F6/F4</f>
        <v>0.46445179301221806</v>
      </c>
      <c r="G9" s="24">
        <f>G6/G4</f>
        <v>0.47917807335650148</v>
      </c>
      <c r="H9" s="24">
        <f>H6/H4</f>
        <v>0.49378439053339757</v>
      </c>
      <c r="I9" s="24">
        <f>I6/I4</f>
        <v>0.50825583321885537</v>
      </c>
      <c r="J9" s="24">
        <f>J6/J4</f>
        <v>0.52257803845041584</v>
      </c>
      <c r="K9" s="24">
        <f>K6/K4</f>
        <v>0.536737246119524</v>
      </c>
      <c r="L9" s="24">
        <f>L6/L4</f>
        <v>0.55072034820703208</v>
      </c>
      <c r="M9" s="24">
        <f>M6/M4</f>
        <v>0.56451493244149531</v>
      </c>
      <c r="N9" s="24">
        <f>N6/N4</f>
        <v>0.49067217421819431</v>
      </c>
    </row>
    <row r="10" spans="1:14" s="25" customFormat="1" ht="15.6" x14ac:dyDescent="0.3">
      <c r="A10" s="23" t="s">
        <v>97</v>
      </c>
      <c r="B10" s="24">
        <f>(B7-(Expenses!B4+Expenses!B5+Expenses!B6+Expenses!B7+Expenses!B10))/(Expenses!B4+Expenses!B5+Expenses!B6+Expenses!B7+Expenses!B10)</f>
        <v>0.44784053156146253</v>
      </c>
      <c r="C10" s="24">
        <f>(C7-(Expenses!C4+Expenses!C5+Expenses!C6+Expenses!C7+Expenses!C10))/(Expenses!C4+Expenses!C5+Expenses!C6+Expenses!C7+Expenses!C10)</f>
        <v>0.60643189368770845</v>
      </c>
      <c r="D10" s="24">
        <f>(D7-(Expenses!D4+Expenses!D5+Expenses!D6+Expenses!D7+Expenses!D10))/(Expenses!D4+Expenses!D5+Expenses!D6+Expenses!D7+Expenses!D10)</f>
        <v>0.77282843853820626</v>
      </c>
      <c r="E10" s="24">
        <f>(E7-(Expenses!E4+Expenses!E5+Expenses!E6+Expenses!E7+Expenses!E10))/(Expenses!E4+Expenses!E5+Expenses!E6+Expenses!E7+Expenses!E10)</f>
        <v>0.94741918139534875</v>
      </c>
      <c r="F10" s="24">
        <f>(F7-(Expenses!F4+Expenses!F5+Expenses!F6+Expenses!F7+Expenses!F10))/(Expenses!F4+Expenses!F5+Expenses!F6+Expenses!F7+Expenses!F10)</f>
        <v>1.1306125758671099</v>
      </c>
      <c r="G10" s="24">
        <f>(G7-(Expenses!G4+Expenses!G5+Expenses!G6+Expenses!G7+Expenses!G10))/(Expenses!G4+Expenses!G5+Expenses!G6+Expenses!G7+Expenses!G10)</f>
        <v>1.3228374856789384</v>
      </c>
      <c r="H10" s="24">
        <f>(H7-(Expenses!H4+Expenses!H5+Expenses!H6+Expenses!H7+Expenses!H10))/(Expenses!H4+Expenses!H5+Expenses!H6+Expenses!H7+Expenses!H10)</f>
        <v>1.5245442050539983</v>
      </c>
      <c r="I10" s="24">
        <f>(I7-(Expenses!I4+Expenses!I5+Expenses!I6+Expenses!I7+Expenses!I10))/(Expenses!I4+Expenses!I5+Expenses!I6+Expenses!I7+Expenses!I10)</f>
        <v>1.7362055301111843</v>
      </c>
      <c r="J10" s="24">
        <f>(J7-(Expenses!J4+Expenses!J5+Expenses!J6+Expenses!J7+Expenses!J10))/(Expenses!J4+Expenses!J5+Expenses!J6+Expenses!J7+Expenses!J10)</f>
        <v>1.9583178838317319</v>
      </c>
      <c r="K10" s="24">
        <f>(K7-(Expenses!K4+Expenses!K5+Expenses!K6+Expenses!K7+Expenses!K10))/(Expenses!K4+Expenses!K5+Expenses!K6+Expenses!K7+Expenses!K10)</f>
        <v>2.191402497272914</v>
      </c>
      <c r="L10" s="24">
        <f>(L7-(Expenses!L4+Expenses!L5+Expenses!L6+Expenses!L7+Expenses!L10))/(Expenses!L4+Expenses!L5+Expenses!L6+Expenses!L7+Expenses!L10)</f>
        <v>2.4360066498411101</v>
      </c>
      <c r="M10" s="24">
        <f>(M7-(Expenses!M4+Expenses!M5+Expenses!M6+Expenses!M7+Expenses!M10))/(Expenses!M4+Expenses!M5+Expenses!M6+Expenses!M7+Expenses!M10)</f>
        <v>2.6927049715772213</v>
      </c>
      <c r="N10" s="24"/>
    </row>
    <row r="11" spans="1:14" s="2" customFormat="1" ht="15.6" x14ac:dyDescent="0.3">
      <c r="A11" s="22" t="s">
        <v>82</v>
      </c>
      <c r="B11" s="22">
        <f>B6</f>
        <v>7958.3333333333358</v>
      </c>
      <c r="C11" s="22">
        <f>B11+C6</f>
        <v>16426.666666666672</v>
      </c>
      <c r="D11" s="22">
        <f>C11+D6</f>
        <v>25430.100000000006</v>
      </c>
      <c r="E11" s="22">
        <f>D11+E6</f>
        <v>34994.984333333341</v>
      </c>
      <c r="F11" s="22">
        <f>E11+F6</f>
        <v>45148.98417666668</v>
      </c>
      <c r="G11" s="22">
        <f>F11+G6</f>
        <v>55921.143185100016</v>
      </c>
      <c r="H11" s="22">
        <f>G11+H6</f>
        <v>67341.953075284342</v>
      </c>
      <c r="I11" s="22">
        <f>H11+I6</f>
        <v>79443.425987287192</v>
      </c>
      <c r="J11" s="22">
        <f>I11+J6</f>
        <v>92259.170464139228</v>
      </c>
      <c r="K11" s="22">
        <f>J11+K6</f>
        <v>105824.47122994208</v>
      </c>
      <c r="L11" s="22">
        <f>K11+L6</f>
        <v>120176.37295646104</v>
      </c>
      <c r="M11" s="22">
        <f>L11+M6</f>
        <v>135353.76821762283</v>
      </c>
      <c r="N11" s="21"/>
    </row>
    <row r="12" spans="1:14" s="2" customFormat="1" x14ac:dyDescent="0.3"/>
    <row r="13" spans="1:14" s="2" customFormat="1" x14ac:dyDescent="0.3"/>
    <row r="14" spans="1:14" s="2" customFormat="1" x14ac:dyDescent="0.3"/>
    <row r="15" spans="1:14" s="2" customFormat="1" x14ac:dyDescent="0.3"/>
    <row r="16" spans="1:14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E759-6A14-4B8B-8EE0-BB3812CE73DB}">
  <dimension ref="A1:N16"/>
  <sheetViews>
    <sheetView workbookViewId="0">
      <selection activeCell="D7" sqref="D7"/>
    </sheetView>
  </sheetViews>
  <sheetFormatPr defaultRowHeight="14.4" x14ac:dyDescent="0.3"/>
  <cols>
    <col min="1" max="1" width="32.33203125" bestFit="1" customWidth="1"/>
    <col min="2" max="13" width="9.5546875" customWidth="1"/>
    <col min="14" max="14" width="6.6640625" customWidth="1"/>
  </cols>
  <sheetData>
    <row r="1" spans="1:14" ht="18" x14ac:dyDescent="0.35">
      <c r="A1" s="35" t="s">
        <v>83</v>
      </c>
      <c r="B1" s="35"/>
      <c r="C1" s="35"/>
      <c r="D1" s="35"/>
    </row>
    <row r="3" spans="1:14" ht="15.6" x14ac:dyDescent="0.3">
      <c r="A3" s="13" t="s">
        <v>84</v>
      </c>
      <c r="B3" s="13" t="s">
        <v>20</v>
      </c>
      <c r="C3" s="13" t="s">
        <v>21</v>
      </c>
      <c r="D3" s="13" t="s">
        <v>22</v>
      </c>
      <c r="E3" s="13" t="s">
        <v>29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30</v>
      </c>
      <c r="M3" s="13" t="s">
        <v>31</v>
      </c>
    </row>
    <row r="4" spans="1:14" ht="31.2" x14ac:dyDescent="0.3">
      <c r="A4" s="20" t="s">
        <v>85</v>
      </c>
      <c r="B4" s="28">
        <f>Profit!B4</f>
        <v>19666.666666666668</v>
      </c>
      <c r="C4" s="28">
        <f>Profit!C4</f>
        <v>20176.666666666668</v>
      </c>
      <c r="D4" s="28">
        <f>Profit!D4</f>
        <v>20711.766666666666</v>
      </c>
      <c r="E4" s="28">
        <f>Profit!E4</f>
        <v>21273.217666666667</v>
      </c>
      <c r="F4" s="28">
        <f>Profit!F4</f>
        <v>21862.333176666667</v>
      </c>
      <c r="G4" s="28">
        <f>Profit!G4</f>
        <v>22480.492341766669</v>
      </c>
      <c r="H4" s="28">
        <f>Profit!H4</f>
        <v>23129.143223517665</v>
      </c>
      <c r="I4" s="28">
        <f>Profit!I4</f>
        <v>23809.806245336178</v>
      </c>
      <c r="J4" s="28">
        <f>Profit!J4</f>
        <v>24524.077810185376</v>
      </c>
      <c r="K4" s="28">
        <f>Profit!K4</f>
        <v>25273.634099136187</v>
      </c>
      <c r="L4" s="28">
        <f>Profit!L4</f>
        <v>26060.23505985229</v>
      </c>
      <c r="M4" s="28">
        <f>Profit!M4</f>
        <v>26885.728594495122</v>
      </c>
    </row>
    <row r="5" spans="1:14" ht="31.2" x14ac:dyDescent="0.3">
      <c r="A5" s="20" t="s">
        <v>86</v>
      </c>
      <c r="B5" s="28">
        <f>SUM(B6:B13)</f>
        <v>5708.333333333333</v>
      </c>
      <c r="C5" s="28">
        <f t="shared" ref="C5:M5" si="0">SUM(C6:C13)</f>
        <v>11708.333333333332</v>
      </c>
      <c r="D5" s="28">
        <f t="shared" si="0"/>
        <v>11708.333333333332</v>
      </c>
      <c r="E5" s="28">
        <f t="shared" si="0"/>
        <v>11708.333333333332</v>
      </c>
      <c r="F5" s="28">
        <f t="shared" si="0"/>
        <v>11708.333333333332</v>
      </c>
      <c r="G5" s="28">
        <f t="shared" si="0"/>
        <v>11708.333333333332</v>
      </c>
      <c r="H5" s="28">
        <f t="shared" si="0"/>
        <v>11708.333333333332</v>
      </c>
      <c r="I5" s="28">
        <f t="shared" si="0"/>
        <v>11708.333333333332</v>
      </c>
      <c r="J5" s="28">
        <f t="shared" si="0"/>
        <v>11708.333333333332</v>
      </c>
      <c r="K5" s="28">
        <f t="shared" si="0"/>
        <v>11708.333333333332</v>
      </c>
      <c r="L5" s="28">
        <f t="shared" si="0"/>
        <v>11708.333333333332</v>
      </c>
      <c r="M5" s="28">
        <f t="shared" si="0"/>
        <v>11708.333333333332</v>
      </c>
    </row>
    <row r="6" spans="1:14" ht="15.6" x14ac:dyDescent="0.3">
      <c r="A6" s="15" t="s">
        <v>12</v>
      </c>
      <c r="B6" s="28">
        <f>Expenses!B4</f>
        <v>250</v>
      </c>
      <c r="C6" s="28">
        <f>Expenses!C4</f>
        <v>250</v>
      </c>
      <c r="D6" s="28">
        <f>Expenses!D4</f>
        <v>250</v>
      </c>
      <c r="E6" s="28">
        <f>Expenses!E4</f>
        <v>250</v>
      </c>
      <c r="F6" s="28">
        <f>Expenses!F4</f>
        <v>250</v>
      </c>
      <c r="G6" s="28">
        <f>Expenses!G4</f>
        <v>250</v>
      </c>
      <c r="H6" s="28">
        <f>Expenses!H4</f>
        <v>250</v>
      </c>
      <c r="I6" s="28">
        <f>Expenses!I4</f>
        <v>250</v>
      </c>
      <c r="J6" s="28">
        <f>Expenses!J4</f>
        <v>250</v>
      </c>
      <c r="K6" s="28">
        <f>Expenses!K4</f>
        <v>250</v>
      </c>
      <c r="L6" s="28">
        <f>Expenses!L4</f>
        <v>250</v>
      </c>
      <c r="M6" s="28">
        <f>Expenses!M4</f>
        <v>250</v>
      </c>
    </row>
    <row r="7" spans="1:14" ht="15.6" x14ac:dyDescent="0.3">
      <c r="A7" s="15" t="s">
        <v>14</v>
      </c>
      <c r="B7" s="28">
        <f>Expenses!B5</f>
        <v>166.66666666666666</v>
      </c>
      <c r="C7" s="28">
        <f>Expenses!C5</f>
        <v>166.66666666666666</v>
      </c>
      <c r="D7" s="28">
        <f>Expenses!D5</f>
        <v>166.66666666666666</v>
      </c>
      <c r="E7" s="28">
        <f>Expenses!E5</f>
        <v>166.66666666666666</v>
      </c>
      <c r="F7" s="28">
        <f>Expenses!F5</f>
        <v>166.66666666666666</v>
      </c>
      <c r="G7" s="28">
        <f>Expenses!G5</f>
        <v>166.66666666666666</v>
      </c>
      <c r="H7" s="28">
        <f>Expenses!H5</f>
        <v>166.66666666666666</v>
      </c>
      <c r="I7" s="28">
        <f>Expenses!I5</f>
        <v>166.66666666666666</v>
      </c>
      <c r="J7" s="28">
        <f>Expenses!J5</f>
        <v>166.66666666666666</v>
      </c>
      <c r="K7" s="28">
        <f>Expenses!K5</f>
        <v>166.66666666666666</v>
      </c>
      <c r="L7" s="28">
        <f>Expenses!L5</f>
        <v>166.66666666666666</v>
      </c>
      <c r="M7" s="28">
        <f>Expenses!M5</f>
        <v>166.66666666666666</v>
      </c>
    </row>
    <row r="8" spans="1:14" ht="15.6" x14ac:dyDescent="0.3">
      <c r="A8" s="15" t="s">
        <v>15</v>
      </c>
      <c r="B8" s="28">
        <f>Expenses!B6</f>
        <v>41.666666666666664</v>
      </c>
      <c r="C8" s="28">
        <f>Expenses!C6</f>
        <v>41.666666666666664</v>
      </c>
      <c r="D8" s="28">
        <f>Expenses!D6</f>
        <v>41.666666666666664</v>
      </c>
      <c r="E8" s="28">
        <f>Expenses!E6</f>
        <v>41.666666666666664</v>
      </c>
      <c r="F8" s="28">
        <f>Expenses!F6</f>
        <v>41.666666666666664</v>
      </c>
      <c r="G8" s="28">
        <f>Expenses!G6</f>
        <v>41.666666666666664</v>
      </c>
      <c r="H8" s="28">
        <f>Expenses!H6</f>
        <v>41.666666666666664</v>
      </c>
      <c r="I8" s="28">
        <f>Expenses!I6</f>
        <v>41.666666666666664</v>
      </c>
      <c r="J8" s="28">
        <f>Expenses!J6</f>
        <v>41.666666666666664</v>
      </c>
      <c r="K8" s="28">
        <f>Expenses!K6</f>
        <v>41.666666666666664</v>
      </c>
      <c r="L8" s="28">
        <f>Expenses!L6</f>
        <v>41.666666666666664</v>
      </c>
      <c r="M8" s="28">
        <f>Expenses!M6</f>
        <v>41.666666666666664</v>
      </c>
    </row>
    <row r="9" spans="1:14" ht="15.6" x14ac:dyDescent="0.3">
      <c r="A9" s="15" t="s">
        <v>13</v>
      </c>
      <c r="B9" s="28">
        <f>Expenses!B7</f>
        <v>50</v>
      </c>
      <c r="C9" s="28">
        <f>Expenses!C7</f>
        <v>50</v>
      </c>
      <c r="D9" s="28">
        <f>Expenses!D7</f>
        <v>50</v>
      </c>
      <c r="E9" s="28">
        <f>Expenses!E7</f>
        <v>50</v>
      </c>
      <c r="F9" s="28">
        <f>Expenses!F7</f>
        <v>50</v>
      </c>
      <c r="G9" s="28">
        <f>Expenses!G7</f>
        <v>50</v>
      </c>
      <c r="H9" s="28">
        <f>Expenses!H7</f>
        <v>50</v>
      </c>
      <c r="I9" s="28">
        <f>Expenses!I7</f>
        <v>50</v>
      </c>
      <c r="J9" s="28">
        <f>Expenses!J7</f>
        <v>50</v>
      </c>
      <c r="K9" s="28">
        <f>Expenses!K7</f>
        <v>50</v>
      </c>
      <c r="L9" s="28">
        <f>Expenses!L7</f>
        <v>50</v>
      </c>
      <c r="M9" s="28">
        <f>Expenses!M7</f>
        <v>50</v>
      </c>
    </row>
    <row r="10" spans="1:14" ht="15.6" x14ac:dyDescent="0.3">
      <c r="A10" s="15" t="s">
        <v>66</v>
      </c>
      <c r="B10" s="28">
        <v>0</v>
      </c>
      <c r="C10" s="28">
        <f>Expenses!B8</f>
        <v>6000</v>
      </c>
      <c r="D10" s="28">
        <f>Expenses!C8</f>
        <v>6000</v>
      </c>
      <c r="E10" s="28">
        <f>Expenses!D8</f>
        <v>6000</v>
      </c>
      <c r="F10" s="28">
        <f>Expenses!E8</f>
        <v>6000</v>
      </c>
      <c r="G10" s="28">
        <f>Expenses!F8</f>
        <v>6000</v>
      </c>
      <c r="H10" s="28">
        <f>Expenses!G8</f>
        <v>6000</v>
      </c>
      <c r="I10" s="28">
        <f>Expenses!H8</f>
        <v>6000</v>
      </c>
      <c r="J10" s="28">
        <f>Expenses!I8</f>
        <v>6000</v>
      </c>
      <c r="K10" s="28">
        <f>Expenses!J8</f>
        <v>6000</v>
      </c>
      <c r="L10" s="28">
        <f>Expenses!K8</f>
        <v>6000</v>
      </c>
      <c r="M10" s="28">
        <f>Expenses!L8</f>
        <v>6000</v>
      </c>
    </row>
    <row r="11" spans="1:14" ht="15.6" x14ac:dyDescent="0.3">
      <c r="A11" s="15" t="s">
        <v>41</v>
      </c>
      <c r="B11" s="28">
        <f>Expenses!B9</f>
        <v>700</v>
      </c>
      <c r="C11" s="28">
        <f>Expenses!C9</f>
        <v>700</v>
      </c>
      <c r="D11" s="28">
        <f>Expenses!D9</f>
        <v>700</v>
      </c>
      <c r="E11" s="28">
        <f>Expenses!E9</f>
        <v>700</v>
      </c>
      <c r="F11" s="28">
        <f>Expenses!F9</f>
        <v>700</v>
      </c>
      <c r="G11" s="28">
        <f>Expenses!G9</f>
        <v>700</v>
      </c>
      <c r="H11" s="28">
        <f>Expenses!H9</f>
        <v>700</v>
      </c>
      <c r="I11" s="28">
        <f>Expenses!I9</f>
        <v>700</v>
      </c>
      <c r="J11" s="28">
        <f>Expenses!J9</f>
        <v>700</v>
      </c>
      <c r="K11" s="28">
        <f>Expenses!K9</f>
        <v>700</v>
      </c>
      <c r="L11" s="28">
        <f>Expenses!L9</f>
        <v>700</v>
      </c>
      <c r="M11" s="28">
        <f>Expenses!M9</f>
        <v>700</v>
      </c>
    </row>
    <row r="12" spans="1:14" ht="15.6" x14ac:dyDescent="0.3">
      <c r="A12" s="15" t="s">
        <v>72</v>
      </c>
      <c r="B12" s="28">
        <f>Expenses!B10</f>
        <v>2000</v>
      </c>
      <c r="C12" s="28">
        <f>Expenses!C10</f>
        <v>2000</v>
      </c>
      <c r="D12" s="28">
        <f>Expenses!D10</f>
        <v>2000</v>
      </c>
      <c r="E12" s="28">
        <f>Expenses!E10</f>
        <v>2000</v>
      </c>
      <c r="F12" s="28">
        <f>Expenses!F10</f>
        <v>2000</v>
      </c>
      <c r="G12" s="28">
        <f>Expenses!G10</f>
        <v>2000</v>
      </c>
      <c r="H12" s="28">
        <f>Expenses!H10</f>
        <v>2000</v>
      </c>
      <c r="I12" s="28">
        <f>Expenses!I10</f>
        <v>2000</v>
      </c>
      <c r="J12" s="28">
        <f>Expenses!J10</f>
        <v>2000</v>
      </c>
      <c r="K12" s="28">
        <f>Expenses!K10</f>
        <v>2000</v>
      </c>
      <c r="L12" s="28">
        <f>Expenses!L10</f>
        <v>2000</v>
      </c>
      <c r="M12" s="28">
        <f>Expenses!M10</f>
        <v>2000</v>
      </c>
    </row>
    <row r="13" spans="1:14" ht="15.6" x14ac:dyDescent="0.3">
      <c r="A13" s="15" t="s">
        <v>73</v>
      </c>
      <c r="B13" s="28">
        <f>Expenses!B11</f>
        <v>2500</v>
      </c>
      <c r="C13" s="28">
        <f>Expenses!C11</f>
        <v>2500</v>
      </c>
      <c r="D13" s="28">
        <f>Expenses!D11</f>
        <v>2500</v>
      </c>
      <c r="E13" s="28">
        <f>Expenses!E11</f>
        <v>2500</v>
      </c>
      <c r="F13" s="28">
        <f>Expenses!F11</f>
        <v>2500</v>
      </c>
      <c r="G13" s="28">
        <f>Expenses!G11</f>
        <v>2500</v>
      </c>
      <c r="H13" s="28">
        <f>Expenses!H11</f>
        <v>2500</v>
      </c>
      <c r="I13" s="28">
        <f>Expenses!I11</f>
        <v>2500</v>
      </c>
      <c r="J13" s="28">
        <f>Expenses!J11</f>
        <v>2500</v>
      </c>
      <c r="K13" s="28">
        <f>Expenses!K11</f>
        <v>2500</v>
      </c>
      <c r="L13" s="28">
        <f>Expenses!L11</f>
        <v>2500</v>
      </c>
      <c r="M13" s="28">
        <f>Expenses!M11</f>
        <v>2500</v>
      </c>
    </row>
    <row r="14" spans="1:14" s="17" customFormat="1" ht="31.2" x14ac:dyDescent="0.3">
      <c r="A14" s="29" t="s">
        <v>87</v>
      </c>
      <c r="B14" s="28">
        <f>B4-B5</f>
        <v>13958.333333333336</v>
      </c>
      <c r="C14" s="28">
        <f t="shared" ref="C14:M14" si="1">C4-C5</f>
        <v>8468.3333333333358</v>
      </c>
      <c r="D14" s="28">
        <f t="shared" si="1"/>
        <v>9003.4333333333343</v>
      </c>
      <c r="E14" s="28">
        <f t="shared" si="1"/>
        <v>9564.8843333333352</v>
      </c>
      <c r="F14" s="28">
        <f t="shared" si="1"/>
        <v>10153.999843333335</v>
      </c>
      <c r="G14" s="28">
        <f t="shared" si="1"/>
        <v>10772.159008433337</v>
      </c>
      <c r="H14" s="28">
        <f t="shared" si="1"/>
        <v>11420.809890184333</v>
      </c>
      <c r="I14" s="28">
        <f t="shared" si="1"/>
        <v>12101.472912002846</v>
      </c>
      <c r="J14" s="28">
        <f t="shared" si="1"/>
        <v>12815.744476852044</v>
      </c>
      <c r="K14" s="28">
        <f t="shared" si="1"/>
        <v>13565.300765802855</v>
      </c>
      <c r="L14" s="28">
        <f t="shared" si="1"/>
        <v>14351.901726518958</v>
      </c>
      <c r="M14" s="28">
        <f t="shared" si="1"/>
        <v>15177.39526116179</v>
      </c>
      <c r="N14"/>
    </row>
    <row r="15" spans="1:14" s="17" customFormat="1" ht="15.6" x14ac:dyDescent="0.3">
      <c r="A15" s="29" t="s">
        <v>88</v>
      </c>
      <c r="B15" s="21">
        <v>0</v>
      </c>
      <c r="C15" s="21">
        <f>B16</f>
        <v>13958.333333333336</v>
      </c>
      <c r="D15" s="21">
        <f t="shared" ref="D15:M15" si="2">C16</f>
        <v>22426.666666666672</v>
      </c>
      <c r="E15" s="21">
        <f t="shared" si="2"/>
        <v>31430.100000000006</v>
      </c>
      <c r="F15" s="21">
        <f t="shared" si="2"/>
        <v>40994.984333333341</v>
      </c>
      <c r="G15" s="21">
        <f t="shared" si="2"/>
        <v>51148.98417666668</v>
      </c>
      <c r="H15" s="21">
        <f t="shared" si="2"/>
        <v>61921.143185100016</v>
      </c>
      <c r="I15" s="21">
        <f t="shared" si="2"/>
        <v>73341.953075284342</v>
      </c>
      <c r="J15" s="21">
        <f t="shared" si="2"/>
        <v>85443.425987287192</v>
      </c>
      <c r="K15" s="21">
        <f t="shared" si="2"/>
        <v>98259.170464139228</v>
      </c>
      <c r="L15" s="21">
        <f t="shared" si="2"/>
        <v>111824.47122994208</v>
      </c>
      <c r="M15" s="21">
        <f t="shared" si="2"/>
        <v>126176.37295646104</v>
      </c>
      <c r="N15"/>
    </row>
    <row r="16" spans="1:14" s="17" customFormat="1" ht="15.6" x14ac:dyDescent="0.3">
      <c r="A16" s="29" t="s">
        <v>89</v>
      </c>
      <c r="B16" s="28">
        <f>B14</f>
        <v>13958.333333333336</v>
      </c>
      <c r="C16" s="28">
        <f>C15+C14</f>
        <v>22426.666666666672</v>
      </c>
      <c r="D16" s="28">
        <f t="shared" ref="D16:M16" si="3">D15+D14</f>
        <v>31430.100000000006</v>
      </c>
      <c r="E16" s="28">
        <f t="shared" si="3"/>
        <v>40994.984333333341</v>
      </c>
      <c r="F16" s="28">
        <f t="shared" si="3"/>
        <v>51148.98417666668</v>
      </c>
      <c r="G16" s="28">
        <f t="shared" si="3"/>
        <v>61921.143185100016</v>
      </c>
      <c r="H16" s="28">
        <f t="shared" si="3"/>
        <v>73341.953075284342</v>
      </c>
      <c r="I16" s="28">
        <f t="shared" si="3"/>
        <v>85443.425987287192</v>
      </c>
      <c r="J16" s="28">
        <f t="shared" si="3"/>
        <v>98259.170464139228</v>
      </c>
      <c r="K16" s="28">
        <f t="shared" si="3"/>
        <v>111824.47122994208</v>
      </c>
      <c r="L16" s="28">
        <f t="shared" si="3"/>
        <v>126176.37295646104</v>
      </c>
      <c r="M16" s="28">
        <f t="shared" si="3"/>
        <v>141353.76821762283</v>
      </c>
      <c r="N16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5C25-96BD-4BA6-8540-16B67E2DD0B8}">
  <dimension ref="A1:N9"/>
  <sheetViews>
    <sheetView tabSelected="1" workbookViewId="0">
      <selection activeCell="C4" sqref="C4"/>
    </sheetView>
  </sheetViews>
  <sheetFormatPr defaultRowHeight="14.4" x14ac:dyDescent="0.3"/>
  <cols>
    <col min="1" max="1" width="20.44140625" bestFit="1" customWidth="1"/>
    <col min="2" max="14" width="11.88671875" bestFit="1" customWidth="1"/>
  </cols>
  <sheetData>
    <row r="1" spans="1:14" ht="18" x14ac:dyDescent="0.35">
      <c r="A1" s="35" t="s">
        <v>90</v>
      </c>
      <c r="B1" s="35"/>
      <c r="C1" s="35"/>
      <c r="D1" s="35"/>
    </row>
    <row r="3" spans="1:14" ht="15.6" x14ac:dyDescent="0.3">
      <c r="A3" s="13" t="s">
        <v>84</v>
      </c>
      <c r="B3" s="30">
        <v>46023</v>
      </c>
      <c r="C3" s="30">
        <v>46054</v>
      </c>
      <c r="D3" s="30">
        <v>46082</v>
      </c>
      <c r="E3" s="30">
        <v>46113</v>
      </c>
      <c r="F3" s="30">
        <v>46143</v>
      </c>
      <c r="G3" s="30">
        <v>46174</v>
      </c>
      <c r="H3" s="30">
        <v>46204</v>
      </c>
      <c r="I3" s="30">
        <v>46235</v>
      </c>
      <c r="J3" s="30">
        <v>46266</v>
      </c>
      <c r="K3" s="30">
        <v>46296</v>
      </c>
      <c r="L3" s="30">
        <v>46327</v>
      </c>
      <c r="M3" s="30">
        <v>46357</v>
      </c>
      <c r="N3" s="30">
        <v>46388</v>
      </c>
    </row>
    <row r="4" spans="1:14" ht="15.6" x14ac:dyDescent="0.3">
      <c r="A4" s="20" t="s">
        <v>91</v>
      </c>
      <c r="B4" s="28">
        <f>'Cash flow'!B15</f>
        <v>0</v>
      </c>
      <c r="C4" s="28">
        <f>'Cash flow'!B16</f>
        <v>13958.333333333336</v>
      </c>
      <c r="D4" s="28">
        <f>'Cash flow'!C16</f>
        <v>22426.666666666672</v>
      </c>
      <c r="E4" s="28">
        <f>'Cash flow'!D16</f>
        <v>31430.100000000006</v>
      </c>
      <c r="F4" s="28">
        <f>'Cash flow'!E16</f>
        <v>40994.984333333341</v>
      </c>
      <c r="G4" s="28">
        <f>'Cash flow'!F16</f>
        <v>51148.98417666668</v>
      </c>
      <c r="H4" s="28">
        <f>'Cash flow'!G16</f>
        <v>61921.143185100016</v>
      </c>
      <c r="I4" s="28">
        <f>'Cash flow'!H16</f>
        <v>73341.953075284342</v>
      </c>
      <c r="J4" s="28">
        <f>'Cash flow'!I16</f>
        <v>85443.425987287192</v>
      </c>
      <c r="K4" s="28">
        <f>'Cash flow'!J16</f>
        <v>98259.170464139228</v>
      </c>
      <c r="L4" s="28">
        <f>'Cash flow'!K16</f>
        <v>111824.47122994208</v>
      </c>
      <c r="M4" s="28">
        <f>'Cash flow'!L16</f>
        <v>126176.37295646104</v>
      </c>
      <c r="N4" s="28">
        <f>'Cash flow'!M16</f>
        <v>141353.76821762283</v>
      </c>
    </row>
    <row r="5" spans="1:14" ht="31.2" x14ac:dyDescent="0.3">
      <c r="A5" s="20" t="s">
        <v>96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</row>
    <row r="6" spans="1:14" s="14" customFormat="1" ht="15.6" x14ac:dyDescent="0.3">
      <c r="A6" s="26" t="s">
        <v>92</v>
      </c>
      <c r="B6" s="27">
        <f t="shared" ref="B6:N6" si="0">SUM(B4:B5)</f>
        <v>0</v>
      </c>
      <c r="C6" s="27">
        <f t="shared" si="0"/>
        <v>13958.333333333336</v>
      </c>
      <c r="D6" s="27">
        <f t="shared" si="0"/>
        <v>22426.666666666672</v>
      </c>
      <c r="E6" s="27">
        <f t="shared" si="0"/>
        <v>31430.100000000006</v>
      </c>
      <c r="F6" s="27">
        <f t="shared" si="0"/>
        <v>40994.984333333341</v>
      </c>
      <c r="G6" s="27">
        <f t="shared" si="0"/>
        <v>51148.98417666668</v>
      </c>
      <c r="H6" s="27">
        <f t="shared" si="0"/>
        <v>61921.143185100016</v>
      </c>
      <c r="I6" s="27">
        <f t="shared" si="0"/>
        <v>73341.953075284342</v>
      </c>
      <c r="J6" s="27">
        <f t="shared" si="0"/>
        <v>85443.425987287192</v>
      </c>
      <c r="K6" s="27">
        <f t="shared" si="0"/>
        <v>98259.170464139228</v>
      </c>
      <c r="L6" s="27">
        <f t="shared" si="0"/>
        <v>111824.47122994208</v>
      </c>
      <c r="M6" s="27">
        <f t="shared" si="0"/>
        <v>126176.37295646104</v>
      </c>
      <c r="N6" s="27">
        <f t="shared" si="0"/>
        <v>141353.76821762283</v>
      </c>
    </row>
    <row r="7" spans="1:14" s="33" customFormat="1" ht="31.2" x14ac:dyDescent="0.3">
      <c r="A7" s="31" t="s">
        <v>93</v>
      </c>
      <c r="B7" s="32">
        <v>0</v>
      </c>
      <c r="C7" s="32">
        <f>B7+Expenses!B8-'Cash flow'!B10</f>
        <v>6000</v>
      </c>
      <c r="D7" s="32">
        <f>C7+Expenses!C8-'Cash flow'!C10</f>
        <v>6000</v>
      </c>
      <c r="E7" s="32">
        <f>D7+Expenses!D8-'Cash flow'!D10</f>
        <v>6000</v>
      </c>
      <c r="F7" s="32">
        <f>E7+Expenses!E8-'Cash flow'!E10</f>
        <v>6000</v>
      </c>
      <c r="G7" s="32">
        <f>F7+Expenses!F8-'Cash flow'!F10</f>
        <v>6000</v>
      </c>
      <c r="H7" s="32">
        <f>G7+Expenses!G8-'Cash flow'!G10</f>
        <v>6000</v>
      </c>
      <c r="I7" s="32">
        <f>H7+Expenses!H8-'Cash flow'!H10</f>
        <v>6000</v>
      </c>
      <c r="J7" s="32">
        <f>I7+Expenses!I8-'Cash flow'!I10</f>
        <v>6000</v>
      </c>
      <c r="K7" s="32">
        <f>J7+Expenses!J8-'Cash flow'!J10</f>
        <v>6000</v>
      </c>
      <c r="L7" s="32">
        <f>K7+Expenses!K8-'Cash flow'!K10</f>
        <v>6000</v>
      </c>
      <c r="M7" s="32">
        <f>L7+Expenses!L8-'Cash flow'!L10</f>
        <v>6000</v>
      </c>
      <c r="N7" s="32">
        <f>M7+Expenses!M8-'Cash flow'!M10</f>
        <v>6000</v>
      </c>
    </row>
    <row r="8" spans="1:14" s="33" customFormat="1" ht="15.6" x14ac:dyDescent="0.3">
      <c r="A8" s="31" t="s">
        <v>94</v>
      </c>
      <c r="B8" s="32">
        <v>0</v>
      </c>
      <c r="C8" s="32">
        <f>B8+Profit!B6</f>
        <v>7958.3333333333358</v>
      </c>
      <c r="D8" s="32">
        <f>C8+Profit!C6</f>
        <v>16426.666666666672</v>
      </c>
      <c r="E8" s="32">
        <f>D8+Profit!D6</f>
        <v>25430.100000000006</v>
      </c>
      <c r="F8" s="32">
        <f>E8+Profit!E6</f>
        <v>34994.984333333341</v>
      </c>
      <c r="G8" s="32">
        <f>F8+Profit!F6</f>
        <v>45148.98417666668</v>
      </c>
      <c r="H8" s="32">
        <f>G8+Profit!G6</f>
        <v>55921.143185100016</v>
      </c>
      <c r="I8" s="32">
        <f>H8+Profit!H6</f>
        <v>67341.953075284342</v>
      </c>
      <c r="J8" s="32">
        <f>I8+Profit!I6</f>
        <v>79443.425987287192</v>
      </c>
      <c r="K8" s="32">
        <f>J8+Profit!J6</f>
        <v>92259.170464139228</v>
      </c>
      <c r="L8" s="32">
        <f>K8+Profit!K6</f>
        <v>105824.47122994208</v>
      </c>
      <c r="M8" s="32">
        <f>L8+Profit!L6</f>
        <v>120176.37295646104</v>
      </c>
      <c r="N8" s="32">
        <f>M8+Profit!M6</f>
        <v>135353.76821762283</v>
      </c>
    </row>
    <row r="9" spans="1:14" s="12" customFormat="1" ht="15.6" x14ac:dyDescent="0.3">
      <c r="A9" s="22" t="s">
        <v>95</v>
      </c>
      <c r="B9" s="27">
        <f>SUM(B7:B8)</f>
        <v>0</v>
      </c>
      <c r="C9" s="27">
        <f t="shared" ref="C9:N9" si="1">SUM(C7:C8)</f>
        <v>13958.333333333336</v>
      </c>
      <c r="D9" s="27">
        <f t="shared" si="1"/>
        <v>22426.666666666672</v>
      </c>
      <c r="E9" s="27">
        <f t="shared" si="1"/>
        <v>31430.100000000006</v>
      </c>
      <c r="F9" s="27">
        <f t="shared" si="1"/>
        <v>40994.984333333341</v>
      </c>
      <c r="G9" s="27">
        <f t="shared" si="1"/>
        <v>51148.98417666668</v>
      </c>
      <c r="H9" s="27">
        <f t="shared" si="1"/>
        <v>61921.143185100016</v>
      </c>
      <c r="I9" s="27">
        <f t="shared" si="1"/>
        <v>73341.953075284342</v>
      </c>
      <c r="J9" s="27">
        <f t="shared" si="1"/>
        <v>85443.425987287192</v>
      </c>
      <c r="K9" s="27">
        <f t="shared" si="1"/>
        <v>98259.170464139228</v>
      </c>
      <c r="L9" s="27">
        <f t="shared" si="1"/>
        <v>111824.47122994208</v>
      </c>
      <c r="M9" s="27">
        <f t="shared" si="1"/>
        <v>126176.37295646104</v>
      </c>
      <c r="N9" s="27">
        <f t="shared" si="1"/>
        <v>141353.76821762283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Items</vt:lpstr>
      <vt:lpstr>Income</vt:lpstr>
      <vt:lpstr>Expenses</vt:lpstr>
      <vt:lpstr>Profit</vt:lpstr>
      <vt:lpstr>Cash flow</vt:lpstr>
      <vt:lpstr>Predict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Лёня Славеснов</cp:lastModifiedBy>
  <dcterms:created xsi:type="dcterms:W3CDTF">2025-11-30T14:08:12Z</dcterms:created>
  <dcterms:modified xsi:type="dcterms:W3CDTF">2026-01-19T17:16:05Z</dcterms:modified>
</cp:coreProperties>
</file>